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F86C9E56-76BD-4ACE-8B70-6B1D7D2B72CC}" xr6:coauthVersionLast="47" xr6:coauthVersionMax="47" xr10:uidLastSave="{00000000-0000-0000-0000-000000000000}"/>
  <bookViews>
    <workbookView xWindow="28680" yWindow="-120" windowWidth="29040" windowHeight="16440" activeTab="5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RESULTADOS" sheetId="5" r:id="rId5"/>
    <sheet name="DATOS" sheetId="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3" i="5" l="1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I10" i="5" a="1"/>
  <c r="F10" i="5" a="1"/>
  <c r="I8" i="5" a="1"/>
  <c r="F8" i="5" a="1"/>
  <c r="F11" i="5" a="1"/>
  <c r="F9" i="5" a="1"/>
  <c r="I9" i="5" a="1"/>
  <c r="I13" i="5" a="1"/>
  <c r="I12" i="5" a="1"/>
  <c r="I11" i="5" a="1"/>
  <c r="I13" i="5" l="1"/>
  <c r="I12" i="5"/>
  <c r="I11" i="5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8" i="5" a="1"/>
  <c r="C9" i="5" a="1"/>
  <c r="E22" i="5" l="1" a="1"/>
  <c r="E22" i="5" s="1"/>
  <c r="C8" i="5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<sst xmlns="http://schemas.openxmlformats.org/spreadsheetml/2006/main" count="113" uniqueCount="80">
  <si>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</si>
  <si>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</si>
  <si>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</si>
  <si>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</si>
  <si>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</si>
  <si>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</si>
  <si>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</si>
  <si>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</si>
  <si>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</si>
  <si>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</si>
  <si>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</si>
  <si>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</si>
  <si>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</si>
  <si>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</si>
  <si>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</si>
  <si>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</si>
  <si>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</si>
  <si>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</si>
  <si>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</si>
  <si>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</si>
  <si>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</si>
  <si>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</si>
  <si>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</si>
  <si>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</si>
  <si>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</si>
  <si>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</si>
  <si>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</si>
  <si>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</si>
  <si>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</si>
  <si>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</si>
  <si>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</si>
  <si>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</si>
  <si>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</si>
  <si>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</si>
  <si>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</si>
  <si>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</si>
  <si>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</si>
  <si>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</si>
  <si>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</si>
  <si>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</si>
  <si>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</si>
  <si>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</si>
  <si>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</si>
  <si>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</si>
  <si>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</si>
  <si>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</si>
  <si>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</si>
  <si>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</si>
  <si>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</si>
  <si>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</si>
  <si>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</si>
  <si>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</si>
  <si>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</si>
  <si>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</si>
  <si>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</si>
  <si>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</si>
  <si>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</si>
  <si>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</si>
  <si>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</si>
  <si>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</si>
  <si>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</si>
  <si>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</si>
  <si>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</si>
  <si>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</si>
  <si>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</si>
  <si>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</si>
  <si>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</si>
  <si>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</si>
  <si>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</si>
  <si>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</si>
  <si>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</si>
  <si>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</si>
  <si>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</si>
  <si>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</si>
  <si>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</si>
  <si>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</si>
  <si>
    <t>Resultado Delayed Total recall:</t>
  </si>
  <si>
    <t>Resultado TDR/T3TR:</t>
  </si>
  <si>
    <t>Delayed total recall:</t>
  </si>
  <si>
    <t>TDR/T3TR: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</si>
</sst>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5" fillId="2" borderId="1" xfId="0" applyFont="1" applyFill="1" applyBorder="1"/>
    <xf numFmtId="0" fontId="6" fillId="0" borderId="0" xfId="0" applyFont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21"/>
      <c r="C2" s="21"/>
      <c r="D2" s="21"/>
    </row>
    <row r="3" spans="1:5" x14ac:dyDescent="0.25">
      <c r="A3" s="4" t="s">
        <v>13</v>
      </c>
      <c r="B3" s="22">
        <v>45387</v>
      </c>
      <c r="C3" s="22"/>
      <c r="D3" s="22"/>
    </row>
    <row r="4" spans="1:5" x14ac:dyDescent="0.25">
      <c r="A4" s="4" t="s">
        <v>14</v>
      </c>
      <c r="B4" s="22">
        <v>18358</v>
      </c>
      <c r="C4" s="22"/>
      <c r="D4" s="22"/>
    </row>
    <row r="6" spans="1:5" x14ac:dyDescent="0.25">
      <c r="B6" s="21" t="s">
        <v>15</v>
      </c>
      <c r="C6" s="21"/>
      <c r="D6" s="3" t="s">
        <v>11</v>
      </c>
      <c r="E6" s="3" t="s">
        <v>16</v>
      </c>
    </row>
    <row r="7" spans="1:5" x14ac:dyDescent="0.25">
      <c r="A7" s="4" t="s">
        <v>10</v>
      </c>
      <c r="B7" s="23">
        <f>IF(ISBLANK(PACIENTE!B4),"", DATEDIF(PACIENTE!B4,PACIENTE!B3,"y"))</f>
        <v>74</v>
      </c>
      <c r="C7" s="23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21"/>
      <c r="C9" s="21"/>
    </row>
    <row r="11" spans="1:5" x14ac:dyDescent="0.25">
      <c r="A11" s="20" t="s">
        <v>28</v>
      </c>
      <c r="B11" s="20"/>
      <c r="C11" s="20"/>
      <c r="D11" s="20"/>
      <c r="E11" s="20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7"/>
  <sheetViews>
    <sheetView workbookViewId="0">
      <selection activeCell="B7" sqref="B7"/>
    </sheetView>
  </sheetViews>
  <sheetFormatPr baseColWidth="10" defaultColWidth="11.42578125" defaultRowHeight="15" x14ac:dyDescent="0.25"/>
  <cols>
    <col min="1" max="1" width="18.570312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  <row r="6" spans="1:2" x14ac:dyDescent="0.25">
      <c r="A6" s="4" t="s">
        <v>78</v>
      </c>
      <c r="B6" s="3">
        <v>19</v>
      </c>
    </row>
    <row r="7" spans="1:2" x14ac:dyDescent="0.25">
      <c r="A7" s="4" t="s">
        <v>79</v>
      </c>
      <c r="B7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workbookViewId="0">
      <selection activeCell="I13" sqref="I13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1">
        <f>PACIENTE!B2</f>
        <v>0</v>
      </c>
      <c r="D2" s="21"/>
      <c r="E2" s="21"/>
      <c r="F2" s="21"/>
      <c r="G2" s="21"/>
      <c r="H2" s="21"/>
    </row>
    <row r="3" spans="2:9" x14ac:dyDescent="0.25">
      <c r="B3" s="3" t="s">
        <v>13</v>
      </c>
      <c r="C3" s="27">
        <f>PACIENTE!B3</f>
        <v>45387</v>
      </c>
      <c r="D3" s="27"/>
      <c r="E3" s="27"/>
      <c r="F3" s="27"/>
      <c r="G3" s="27"/>
      <c r="H3" s="27"/>
    </row>
    <row r="4" spans="2:9" x14ac:dyDescent="0.25">
      <c r="B4" s="3" t="s">
        <v>14</v>
      </c>
      <c r="C4" s="27">
        <f>PACIENTE!B4</f>
        <v>18358</v>
      </c>
      <c r="D4" s="27"/>
      <c r="E4" s="27"/>
      <c r="F4" s="27"/>
      <c r="G4" s="27"/>
      <c r="H4" s="27"/>
    </row>
    <row r="5" spans="2:9" x14ac:dyDescent="0.25">
      <c r="B5" s="3" t="s">
        <v>57</v>
      </c>
      <c r="C5" s="21">
        <f>PACIENTE!B9</f>
        <v>0</v>
      </c>
      <c r="D5" s="21"/>
      <c r="E5" s="21"/>
      <c r="F5" s="21"/>
      <c r="G5" s="21"/>
      <c r="H5" s="21"/>
    </row>
    <row r="7" spans="2:9" x14ac:dyDescent="0.25">
      <c r="B7" s="25" t="s">
        <v>56</v>
      </c>
      <c r="C7" s="26"/>
      <c r="E7" s="24" t="s">
        <v>53</v>
      </c>
      <c r="F7" s="24"/>
      <c r="H7" s="24" t="s">
        <v>69</v>
      </c>
      <c r="I7" s="24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18" t="str" cm="1">
        <f t="array" ref="I11">IF( OR(ISBLANK(PACIENTE!B4), PACIENTE!B7 &lt; 50), "NO APLICA", FCSRT_4(PACIENTE!B7, FCSRT!B5))</f>
        <v>Valor invalido</v>
      </c>
    </row>
    <row r="12" spans="2:9" x14ac:dyDescent="0.25">
      <c r="H12" s="7" t="s">
        <v>76</v>
      </c>
      <c r="I12" s="7" t="str" cm="1">
        <f t="array" ref="I12">IF( OR(ISBLANK(PACIENTE!B4), PACIENTE!B7 &lt; 50), "NO APLICA", FCSRT_5(PACIENTE!B7, FCSRT!B6))</f>
        <v>Valor invalido</v>
      </c>
    </row>
    <row r="13" spans="2:9" x14ac:dyDescent="0.25">
      <c r="H13" s="7" t="s">
        <v>77</v>
      </c>
      <c r="I13" s="7" cm="1">
        <f t="array" ref="I13">IF( OR(ISBLANK(PACIENTE!B4), PACIENTE!B7 &lt; 50), "NO APLICA", FCSRT_6(PACIENTE!B7, FCSRT!B7))</f>
        <v>18</v>
      </c>
    </row>
    <row r="22" spans="5:21" x14ac:dyDescent="0.25">
      <c r="E22" s="1" cm="1">
        <f t="array" ref="E22:U22">INDEX(ROCF_TABLE[[2]:[18]], MATCH(PACIENTE!B7, ROCF_TABLE[Edad], 0), {1,2,3,4,5,6,7,8,9,10,11,12,13,14,15,16,17})</f>
        <v>12</v>
      </c>
      <c r="F22" s="1">
        <v>13</v>
      </c>
      <c r="G22" s="1">
        <v>14</v>
      </c>
      <c r="H22" s="1">
        <v>18.5</v>
      </c>
      <c r="I22" s="1">
        <v>22</v>
      </c>
      <c r="J22" s="1">
        <v>24.5</v>
      </c>
      <c r="K22" s="1">
        <v>27.5</v>
      </c>
      <c r="L22" s="1">
        <v>30</v>
      </c>
      <c r="M22" s="1">
        <v>32</v>
      </c>
      <c r="N22" s="1">
        <v>34</v>
      </c>
      <c r="O22" s="1">
        <v>35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36</v>
      </c>
    </row>
    <row r="23" spans="5:21" x14ac:dyDescent="0.25">
      <c r="E23" s="1">
        <f>ROCF!B2</f>
        <v>25</v>
      </c>
      <c r="F23" s="1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7">
    <mergeCell ref="H7:I7"/>
    <mergeCell ref="E7:F7"/>
    <mergeCell ref="B7:C7"/>
    <mergeCell ref="C2:H2"/>
    <mergeCell ref="C3:H3"/>
    <mergeCell ref="C4:H4"/>
    <mergeCell ref="C5:H5"/>
  </mergeCells>
  <pageMargins left="0.7" right="0.7" top="0.75" bottom="0.75" header="0.3" footer="0.3"/>
  <pageSetup paperSize="9" orientation="portrait" horizontalDpi="300" verticalDpi="300" r:id="rId1"/>
  <ignoredErrors>
    <ignoredError sqref="E22 A34:D35 F22:U22" evalError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abSelected="1"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29" t="s">
        <v>34</v>
      </c>
      <c r="N12" s="29"/>
      <c r="O12" s="29"/>
      <c r="P12" s="29"/>
      <c r="Q12" s="29"/>
      <c r="S12" s="28" t="s">
        <v>35</v>
      </c>
      <c r="T12" s="28"/>
      <c r="U12" s="28"/>
      <c r="V12" s="28"/>
      <c r="W12" s="28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W21" s="19"/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28" t="s">
        <v>53</v>
      </c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28" t="s">
        <v>32</v>
      </c>
      <c r="B95" s="28"/>
      <c r="C95" s="28"/>
      <c r="D95" s="28"/>
      <c r="E95" s="28"/>
      <c r="G95" s="28" t="s">
        <v>33</v>
      </c>
      <c r="H95" s="28"/>
      <c r="I95" s="28"/>
      <c r="J95" s="28"/>
      <c r="K95" s="28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PACIENTE</vt:lpstr>
      <vt:lpstr>SDMT</vt:lpstr>
      <vt:lpstr>ROCF</vt:lpstr>
      <vt:lpstr>FCSRT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2024-05-03T17:03:36Z</dcterms:modified>
</cp:coreProperties>
</file>