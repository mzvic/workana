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zvic\workana\"/>
    </mc:Choice>
  </mc:AlternateContent>
  <xr:revisionPtr revIDLastSave="0" documentId="13_ncr:1_{DEA7CF4A-7204-4074-8B59-1CA5FE7CFBD8}" xr6:coauthVersionLast="47" xr6:coauthVersionMax="47" xr10:uidLastSave="{00000000-0000-0000-0000-000000000000}"/>
  <bookViews>
    <workbookView xWindow="28680" yWindow="-120" windowWidth="29040" windowHeight="16440" activeTab="4" xr2:uid="{ACB06729-CCAB-4FB4-A7D2-A11030B4DBAA}"/>
  </bookViews>
  <sheets>
    <sheet name="PACIENTE" sheetId="4" r:id="rId1"/>
    <sheet name="SDMT" sheetId="1" r:id="rId2"/>
    <sheet name="ROCF" sheetId="3" r:id="rId3"/>
    <sheet name="FCSRT" sheetId="6" r:id="rId4"/>
    <sheet name="RESULTADOS" sheetId="5" r:id="rId5"/>
    <sheet name="DATOS" sheetId="2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3" i="5" l="1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F23" i="5"/>
  <c r="E23" i="5"/>
  <c r="D37" i="5"/>
  <c r="C37" i="5"/>
  <c r="B37" i="5"/>
  <c r="A37" i="5"/>
  <c r="D36" i="5"/>
  <c r="C36" i="5"/>
  <c r="A36" i="5"/>
  <c r="B36" i="5"/>
  <c r="A35" i="5" a="1"/>
  <c r="A35" i="5" s="1"/>
  <c r="A34" i="5" a="1"/>
  <c r="A34" i="5" s="1"/>
  <c r="I8" i="5" a="1"/>
  <c r="F8" i="5" a="1"/>
  <c r="F11" i="5" a="1"/>
  <c r="F10" i="5" a="1"/>
  <c r="F9" i="5" a="1"/>
  <c r="I8" i="5" l="1"/>
  <c r="F8" i="5"/>
  <c r="F11" i="5"/>
  <c r="F10" i="5"/>
  <c r="F9" i="5"/>
  <c r="C5" i="5"/>
  <c r="C4" i="5"/>
  <c r="C3" i="5"/>
  <c r="C2" i="5"/>
  <c r="B7" i="4"/>
  <c r="D7" i="4"/>
  <c r="E7" i="4"/>
  <c r="C8" i="5" a="1"/>
  <c r="C9" i="5" a="1"/>
  <c r="E22" i="5" l="1" a="1"/>
  <c r="E22" i="5" s="1"/>
  <c r="C8" i="5"/>
  <c r="C9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<sst xmlns="http://schemas.openxmlformats.org/spreadsheetml/2006/main" count="103" uniqueCount="69">
  <si>
    <t>Edad</t>
  </si>
  <si>
    <t>Resultado Escrita:</t>
  </si>
  <si>
    <t>Resultado Oral:</t>
  </si>
  <si>
    <t>Muy Baja</t>
  </si>
  <si>
    <t>Baja</t>
  </si>
  <si>
    <t>Normal</t>
  </si>
  <si>
    <t>Alta</t>
  </si>
  <si>
    <t>Muy Bajo</t>
  </si>
  <si>
    <t>Bajo</t>
  </si>
  <si>
    <t>Alto</t>
  </si>
  <si>
    <t>Edad Cronologica</t>
  </si>
  <si>
    <t>Meses</t>
  </si>
  <si>
    <t>Nombre:</t>
  </si>
  <si>
    <t>Fecha de Aplicacion:</t>
  </si>
  <si>
    <t>Fecha de Nacimiento:</t>
  </si>
  <si>
    <t>Años</t>
  </si>
  <si>
    <t>Días</t>
  </si>
  <si>
    <t>4 ESO</t>
  </si>
  <si>
    <t>3 Primaria</t>
  </si>
  <si>
    <t>Curso</t>
  </si>
  <si>
    <t>1 Bachillerato</t>
  </si>
  <si>
    <t>2 Bachillerato</t>
  </si>
  <si>
    <t>4 Primaria</t>
  </si>
  <si>
    <t>5 Primaria</t>
  </si>
  <si>
    <t>6 Primaria</t>
  </si>
  <si>
    <t>1 ESO</t>
  </si>
  <si>
    <t>2 ESO</t>
  </si>
  <si>
    <t>3 ESO</t>
  </si>
  <si>
    <t>SI NO SE INGRESA EDAD, SE TOMARA EN CUENTA EL CURSO</t>
  </si>
  <si>
    <t>Puntaje Escrita:</t>
  </si>
  <si>
    <t>Puntaje Oral:</t>
  </si>
  <si>
    <t>/110</t>
  </si>
  <si>
    <t>SDMT Edad Escrita</t>
  </si>
  <si>
    <t>SDMT Edad Oral</t>
  </si>
  <si>
    <t>SDMT Curso Escrita</t>
  </si>
  <si>
    <t>SDMT Curso Oral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</si>
  <si>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</si>
  <si>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</si>
  <si>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</si>
  <si>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</si>
  <si>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</si>
  <si>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</si>
  <si>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</si>
  <si>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</si>
  <si>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</si>
  <si>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</si>
  <si>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</si>
  <si>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</si>
  <si>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</si>
  <si>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</si>
  <si>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</si>
  <si>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</si>
  <si>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</si>
  <si>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ROCF</t>
  </si>
  <si>
    <t>/36</t>
  </si>
  <si>
    <t>Raw Score:</t>
  </si>
  <si>
    <t>SDMT</t>
  </si>
  <si>
    <t>Curso:</t>
  </si>
  <si>
    <t>Time (s):</t>
  </si>
  <si>
    <t>Immediate Recall RS:</t>
  </si>
  <si>
    <t>Delayed Recall RS</t>
  </si>
  <si>
    <t>/131</t>
  </si>
  <si>
    <t>Resultado Raw Score:</t>
  </si>
  <si>
    <t>Resultado Time:</t>
  </si>
  <si>
    <t>Resultado Immediate Recall:</t>
  </si>
  <si>
    <t>Resultado Delayed Recall:</t>
  </si>
  <si>
    <t>/636</t>
  </si>
  <si>
    <t>Trial 1 free recall:</t>
  </si>
  <si>
    <t>Resultado Trial 1 free recall: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</si>
</sst>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2" fillId="0" borderId="0" xfId="0" applyFont="1"/>
    <xf numFmtId="0" fontId="1" fillId="0" borderId="0" xfId="0" applyFon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3" fillId="0" borderId="0" xfId="0" applyFont="1"/>
    <xf numFmtId="0" fontId="1" fillId="2" borderId="1" xfId="0" applyFont="1" applyFill="1" applyBorder="1"/>
    <xf numFmtId="0" fontId="0" fillId="0" borderId="0" xfId="0" applyAlignment="1">
      <alignment horizontal="center"/>
    </xf>
    <xf numFmtId="0" fontId="0" fillId="4" borderId="0" xfId="0" applyFill="1"/>
    <xf numFmtId="0" fontId="0" fillId="6" borderId="2" xfId="0" applyFill="1" applyBorder="1"/>
    <xf numFmtId="0" fontId="0" fillId="0" borderId="2" xfId="0" applyBorder="1"/>
    <xf numFmtId="0" fontId="4" fillId="5" borderId="3" xfId="0" applyFont="1" applyFill="1" applyBorder="1"/>
    <xf numFmtId="0" fontId="0" fillId="0" borderId="4" xfId="0" applyBorder="1"/>
    <xf numFmtId="0" fontId="3" fillId="4" borderId="0" xfId="0" applyFont="1" applyFill="1"/>
    <xf numFmtId="0" fontId="3" fillId="0" borderId="0" xfId="0" applyFont="1" applyAlignment="1">
      <alignment horizontal="center"/>
    </xf>
    <xf numFmtId="0" fontId="0" fillId="2" borderId="1" xfId="0" applyFill="1" applyBorder="1" applyAlignment="1">
      <alignment horizontal="left"/>
    </xf>
    <xf numFmtId="0" fontId="0" fillId="8" borderId="0" xfId="0" applyFill="1"/>
    <xf numFmtId="0" fontId="0" fillId="7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14" fontId="0" fillId="2" borderId="5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 applyAlignment="1">
      <alignment horizontal="center"/>
    </xf>
  </cellXfs>
  <cellStyles count="1"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Escrita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9.5440959273807552E-2"/>
          <c:y val="0.21568627450980393"/>
          <c:w val="0.86770812917391971"/>
          <c:h val="0.63321393649323243"/>
        </c:manualLayout>
      </c:layout>
      <c:lineChart>
        <c:grouping val="standard"/>
        <c:varyColors val="0"/>
        <c:ser>
          <c:idx val="0"/>
          <c:order val="0"/>
          <c:tx>
            <c:v>Categorias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RESULTADOS!$A$34:$D$34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F6-44A5-9D87-C55EA64E5490}"/>
            </c:ext>
          </c:extLst>
        </c:ser>
        <c:ser>
          <c:idx val="1"/>
          <c:order val="1"/>
          <c:tx>
            <c:v>puntaje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F6-44A5-9D87-C55EA64E549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BF6-44A5-9D87-C55EA64E549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BF6-44A5-9D87-C55EA64E54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RESULTADOS!$A$36:$D$36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F6-44A5-9D87-C55EA64E549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87954672"/>
        <c:axId val="587963312"/>
      </c:lineChart>
      <c:catAx>
        <c:axId val="5879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63312"/>
        <c:crosses val="autoZero"/>
        <c:auto val="1"/>
        <c:lblAlgn val="ctr"/>
        <c:lblOffset val="100"/>
        <c:noMultiLvlLbl val="0"/>
      </c:catAx>
      <c:valAx>
        <c:axId val="58796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9.5440959273807552E-2"/>
          <c:y val="0.21568627450980393"/>
          <c:w val="0.86770812917391971"/>
          <c:h val="0.63321393649323243"/>
        </c:manualLayout>
      </c:layout>
      <c:lineChart>
        <c:grouping val="standard"/>
        <c:varyColors val="0"/>
        <c:ser>
          <c:idx val="0"/>
          <c:order val="0"/>
          <c:tx>
            <c:v>Categorias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RESULTADOS!$A$35:$D$35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A-4F3D-991D-25FBF8B1EB57}"/>
            </c:ext>
          </c:extLst>
        </c:ser>
        <c:ser>
          <c:idx val="1"/>
          <c:order val="1"/>
          <c:tx>
            <c:v>puntaje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9CA-4F3D-991D-25FBF8B1EB5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CA-4F3D-991D-25FBF8B1EB5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CA-4F3D-991D-25FBF8B1EB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RESULTADOS!$A$37:$D$37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CA-4F3D-991D-25FBF8B1EB5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87954672"/>
        <c:axId val="587963312"/>
      </c:lineChart>
      <c:catAx>
        <c:axId val="5879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63312"/>
        <c:crosses val="autoZero"/>
        <c:auto val="1"/>
        <c:lblAlgn val="ctr"/>
        <c:lblOffset val="100"/>
        <c:noMultiLvlLbl val="0"/>
      </c:catAx>
      <c:valAx>
        <c:axId val="58796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638174</xdr:colOff>
      <xdr:row>10</xdr:row>
      <xdr:rowOff>0</xdr:rowOff>
    </xdr:from>
    <xdr:to>
      <xdr:col>3</xdr:col>
      <xdr:colOff>0</xdr:colOff>
      <xdr:row>20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C5E2F6-D3BF-28A0-7389-E46841D56A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21</xdr:row>
      <xdr:rowOff>0</xdr:rowOff>
    </xdr:from>
    <xdr:to>
      <xdr:col>3</xdr:col>
      <xdr:colOff>9526</xdr:colOff>
      <xdr:row>31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7A3FD1D-0184-4C1C-BD89-D311493C79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275708-94DE-49FD-818E-824D48C862D3}" name="InfantilEscrita" displayName="InfantilEscrita" ref="A1:E94" totalsRowShown="0">
  <autoFilter ref="A1:E94" xr:uid="{E0275708-94DE-49FD-818E-824D48C862D3}"/>
  <tableColumns count="5">
    <tableColumn id="1" xr3:uid="{BCBE28FA-A0AC-4FAA-A21D-8DAB1A1926F9}" name="Edad"/>
    <tableColumn id="2" xr3:uid="{D2EC6077-06F3-4922-8021-0D507E35F59A}" name="Muy Baja"/>
    <tableColumn id="3" xr3:uid="{71C70989-4D37-4C36-A522-76F69865F0D8}" name="Baja"/>
    <tableColumn id="4" xr3:uid="{E10AE09A-E4B5-4B3D-937A-B2D576B5035B}" name="Normal"/>
    <tableColumn id="5" xr3:uid="{FC45B9DF-A72C-4E35-8209-80873D234152}" name="Alt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F63ED1-346B-4CC7-81FD-2F792B7C136A}" name="InfantilOral" displayName="InfantilOral" ref="G1:K94" totalsRowShown="0">
  <autoFilter ref="G1:K94" xr:uid="{C6F63ED1-346B-4CC7-81FD-2F792B7C136A}"/>
  <tableColumns count="5">
    <tableColumn id="1" xr3:uid="{48C357DA-2773-4F37-90AD-AD370F41EB10}" name="Edad"/>
    <tableColumn id="2" xr3:uid="{FC2CF6D2-A000-4F84-BA73-9331BAAD2BF3}" name="Muy Baja"/>
    <tableColumn id="3" xr3:uid="{651FD581-C2A9-4630-A15F-7A8171B10BFF}" name="Baja"/>
    <tableColumn id="4" xr3:uid="{AD3C6537-6135-4078-85A5-02BCA412F177}" name="Normal"/>
    <tableColumn id="5" xr3:uid="{0CA0E268-5DD1-49F3-A618-3F8C17E46369}" name="Alt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5DC877-2176-4FE0-8EF2-F49CA6ED0F42}" name="CursoEscrita" displayName="CursoEscrita" ref="M1:Q11" totalsRowShown="0" headerRowDxfId="14" dataDxfId="12" headerRowBorderDxfId="13" tableBorderDxfId="11" totalsRowBorderDxfId="10">
  <autoFilter ref="M1:Q11" xr:uid="{1E5DC877-2176-4FE0-8EF2-F49CA6ED0F42}"/>
  <tableColumns count="5">
    <tableColumn id="1" xr3:uid="{BC055911-17BB-469A-954A-6A4B77349169}" name="Curso" dataDxfId="9"/>
    <tableColumn id="2" xr3:uid="{74294315-5FFF-4283-9A60-B7F9AE000CF4}" name="Muy Baja" dataDxfId="8"/>
    <tableColumn id="3" xr3:uid="{59E06D29-7C8E-4A1C-AEC8-2B8F6488106C}" name="Baja" dataDxfId="7"/>
    <tableColumn id="4" xr3:uid="{AE0DD23F-209C-4DAB-966F-28F67A5981CF}" name="Normal" dataDxfId="6"/>
    <tableColumn id="5" xr3:uid="{ABFE0B09-5735-4C25-8BC7-5E6B98D88651}" name="Alta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9CA884E-3973-45EE-A3DE-456A87606072}" name="CursoOral" displayName="CursoOral" ref="S1:W11" totalsRowShown="0" headerRowDxfId="4" headerRowBorderDxfId="3" tableBorderDxfId="2">
  <autoFilter ref="S1:W11" xr:uid="{99CA884E-3973-45EE-A3DE-456A87606072}"/>
  <tableColumns count="5">
    <tableColumn id="1" xr3:uid="{9D5EE7F5-C804-495D-AE1A-8BADEA8ABE09}" name="Curso" dataDxfId="1"/>
    <tableColumn id="2" xr3:uid="{B4207202-0146-429E-AC2D-7EDC50DB5B04}" name="Muy Baja"/>
    <tableColumn id="3" xr3:uid="{4B263562-E7CE-4E26-9C8C-A9C7E0B7D3B6}" name="Baja"/>
    <tableColumn id="4" xr3:uid="{452D4325-EAF7-48B4-98A9-A80ABDF20FDC}" name="Normal"/>
    <tableColumn id="5" xr3:uid="{B4EA8CE5-E179-4645-AA5B-75E92A8E36C5}" name="Alta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AB1E19-729C-44F3-A937-A301FD205C97}" name="ROCF_TABLE" displayName="ROCF_TABLE" ref="Y1:AP42" totalsRowShown="0">
  <autoFilter ref="Y1:AP42" xr:uid="{CCAB1E19-729C-44F3-A937-A301FD205C97}"/>
  <tableColumns count="18">
    <tableColumn id="1" xr3:uid="{14E9C664-DBC8-4230-A9AE-F5F512533F4B}" name="Edad"/>
    <tableColumn id="2" xr3:uid="{E741891D-995F-4720-BE94-62BFA902C8E7}" name="2"/>
    <tableColumn id="3" xr3:uid="{E84CAF13-C8DA-4E59-B8B4-584A1AA69919}" name="3"/>
    <tableColumn id="4" xr3:uid="{F896A6DD-FF95-4546-8C0E-47E326D0589A}" name="4"/>
    <tableColumn id="5" xr3:uid="{FD2E52E6-A287-4A9C-A7A7-3CB21867B95A}" name="5"/>
    <tableColumn id="6" xr3:uid="{9E39BC9E-44AE-4EA1-80CC-FA9EBAAD7F12}" name="6"/>
    <tableColumn id="7" xr3:uid="{45F65B13-11C6-4730-86CD-6CD3AFCA7C85}" name="7"/>
    <tableColumn id="8" xr3:uid="{C991345A-A4A1-4AE1-A1D7-21CD65764B91}" name="8"/>
    <tableColumn id="9" xr3:uid="{F589B23F-D4E9-442C-99C0-E4D24527E981}" name="9"/>
    <tableColumn id="10" xr3:uid="{4855943F-DE7D-43DB-884A-C35B25E1544C}" name="10"/>
    <tableColumn id="11" xr3:uid="{E3CD2819-22F6-4485-9802-5FFB67785FA0}" name="11"/>
    <tableColumn id="12" xr3:uid="{CAF954E8-F27C-410E-AB79-F2B9380A85AC}" name="12"/>
    <tableColumn id="13" xr3:uid="{B0AC79BA-158A-440B-81B9-4246CD6186DB}" name="13"/>
    <tableColumn id="14" xr3:uid="{EF8DD383-C590-4E24-8F4C-5A62DAEE39D1}" name="14"/>
    <tableColumn id="15" xr3:uid="{12F9EC88-590A-485D-B80D-737984BB56EB}" name="15"/>
    <tableColumn id="16" xr3:uid="{59F2E192-348D-497A-8DC8-698ABDDFBC40}" name="16"/>
    <tableColumn id="17" xr3:uid="{44F5C279-FC90-4359-894B-F1BCF3B3B3D9}" name="17"/>
    <tableColumn id="18" xr3:uid="{2DBD896C-5AED-4171-B14A-5A92F3446F28}" name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63485-EF5C-4B35-A52D-A89DF5128543}">
  <sheetPr codeName="Sheet3"/>
  <dimension ref="A2:E11"/>
  <sheetViews>
    <sheetView workbookViewId="0">
      <selection activeCell="B7" sqref="B7:C7"/>
    </sheetView>
  </sheetViews>
  <sheetFormatPr baseColWidth="10" defaultColWidth="9.140625" defaultRowHeight="15" x14ac:dyDescent="0.25"/>
  <cols>
    <col min="1" max="1" width="27.5703125" customWidth="1"/>
  </cols>
  <sheetData>
    <row r="2" spans="1:5" x14ac:dyDescent="0.25">
      <c r="A2" s="3" t="s">
        <v>12</v>
      </c>
      <c r="B2" s="19"/>
      <c r="C2" s="19"/>
      <c r="D2" s="19"/>
    </row>
    <row r="3" spans="1:5" x14ac:dyDescent="0.25">
      <c r="A3" s="4" t="s">
        <v>13</v>
      </c>
      <c r="B3" s="20">
        <v>45387</v>
      </c>
      <c r="C3" s="20"/>
      <c r="D3" s="20"/>
    </row>
    <row r="4" spans="1:5" x14ac:dyDescent="0.25">
      <c r="A4" s="4" t="s">
        <v>14</v>
      </c>
      <c r="B4" s="20">
        <v>18358</v>
      </c>
      <c r="C4" s="20"/>
      <c r="D4" s="20"/>
    </row>
    <row r="6" spans="1:5" x14ac:dyDescent="0.25">
      <c r="B6" s="19" t="s">
        <v>15</v>
      </c>
      <c r="C6" s="19"/>
      <c r="D6" s="3" t="s">
        <v>11</v>
      </c>
      <c r="E6" s="3" t="s">
        <v>16</v>
      </c>
    </row>
    <row r="7" spans="1:5" x14ac:dyDescent="0.25">
      <c r="A7" s="4" t="s">
        <v>10</v>
      </c>
      <c r="B7" s="21">
        <f>IF(ISBLANK(PACIENTE!B4),"", DATEDIF(PACIENTE!B4,PACIENTE!B3,"y"))</f>
        <v>74</v>
      </c>
      <c r="C7" s="21"/>
      <c r="D7" s="5">
        <f>IF(ISBLANK(PACIENTE!B4),"",DATEDIF(PACIENTE!B4,PACIENTE!B3,"ym"))</f>
        <v>0</v>
      </c>
      <c r="E7" s="5">
        <f>IF(ISBLANK(PACIENTE!B4),"",DATEDIF(PACIENTE!B4,PACIENTE!B3,"md"))</f>
        <v>0</v>
      </c>
    </row>
    <row r="8" spans="1:5" x14ac:dyDescent="0.25">
      <c r="A8" s="9"/>
      <c r="B8" s="8"/>
      <c r="C8" s="8"/>
    </row>
    <row r="9" spans="1:5" x14ac:dyDescent="0.25">
      <c r="A9" s="4" t="s">
        <v>19</v>
      </c>
      <c r="B9" s="19"/>
      <c r="C9" s="19"/>
    </row>
    <row r="11" spans="1:5" x14ac:dyDescent="0.25">
      <c r="A11" s="18" t="s">
        <v>28</v>
      </c>
      <c r="B11" s="18"/>
      <c r="C11" s="18"/>
      <c r="D11" s="18"/>
      <c r="E11" s="18"/>
    </row>
  </sheetData>
  <mergeCells count="7">
    <mergeCell ref="A11:E11"/>
    <mergeCell ref="B2:D2"/>
    <mergeCell ref="B3:D3"/>
    <mergeCell ref="B4:D4"/>
    <mergeCell ref="B9:C9"/>
    <mergeCell ref="B7:C7"/>
    <mergeCell ref="B6:C6"/>
  </mergeCells>
  <dataValidations count="1">
    <dataValidation type="list" allowBlank="1" showInputMessage="1" showErrorMessage="1" sqref="B9:C9" xr:uid="{4455721E-3333-47BE-8768-2859F556199F}">
      <formula1>"3 Primaria, 4 Primaria, 5 Primaria, 6 Primaria, 1 ESO, 2 ESO, 3 ESO, 4 ESO, 1 Bachillerato, 2 Bachillerato"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E814B-EE6B-4BD7-A201-BAE327FDC6B9}">
  <sheetPr codeName="Sheet1"/>
  <dimension ref="A1:L23"/>
  <sheetViews>
    <sheetView workbookViewId="0">
      <selection activeCell="A3" sqref="A3:C4"/>
    </sheetView>
  </sheetViews>
  <sheetFormatPr baseColWidth="10" defaultColWidth="9.140625" defaultRowHeight="15" x14ac:dyDescent="0.25"/>
  <cols>
    <col min="1" max="1" width="21" customWidth="1"/>
    <col min="2" max="5" width="9.140625" customWidth="1"/>
    <col min="6" max="6" width="7.7109375" customWidth="1"/>
    <col min="7" max="7" width="18.28515625" customWidth="1"/>
  </cols>
  <sheetData>
    <row r="1" spans="1:12" x14ac:dyDescent="0.25">
      <c r="A1" s="2"/>
      <c r="B1" s="2"/>
      <c r="H1" s="1" t="s">
        <v>7</v>
      </c>
      <c r="I1" s="1" t="s">
        <v>8</v>
      </c>
      <c r="J1" s="1" t="s">
        <v>5</v>
      </c>
      <c r="K1" s="1" t="s">
        <v>9</v>
      </c>
    </row>
    <row r="2" spans="1:12" x14ac:dyDescent="0.25">
      <c r="A2" s="4" t="s">
        <v>29</v>
      </c>
      <c r="B2" s="3"/>
      <c r="C2" s="16" t="s">
        <v>31</v>
      </c>
      <c r="G2" s="6"/>
      <c r="H2" s="6"/>
      <c r="I2" s="6"/>
      <c r="J2" s="6"/>
      <c r="K2" s="6"/>
    </row>
    <row r="3" spans="1:12" x14ac:dyDescent="0.25">
      <c r="A3" s="4" t="s">
        <v>30</v>
      </c>
      <c r="B3" s="3"/>
      <c r="C3" s="16" t="s">
        <v>31</v>
      </c>
      <c r="G3" s="6"/>
      <c r="H3" s="6"/>
      <c r="I3" s="6"/>
      <c r="J3" s="6"/>
      <c r="K3" s="6"/>
    </row>
    <row r="4" spans="1:12" x14ac:dyDescent="0.25">
      <c r="G4" s="6"/>
      <c r="H4" s="6"/>
      <c r="I4" s="6"/>
      <c r="J4" s="6"/>
      <c r="K4" s="6"/>
    </row>
    <row r="5" spans="1:12" x14ac:dyDescent="0.25">
      <c r="G5" s="6"/>
      <c r="H5" s="6"/>
      <c r="I5" s="6"/>
      <c r="J5" s="6"/>
      <c r="K5" s="6"/>
    </row>
    <row r="6" spans="1:12" x14ac:dyDescent="0.25">
      <c r="G6" s="6"/>
      <c r="H6" s="6"/>
      <c r="I6" s="6"/>
      <c r="J6" s="6"/>
      <c r="K6" s="6"/>
    </row>
    <row r="7" spans="1:12" x14ac:dyDescent="0.25">
      <c r="G7" s="6"/>
      <c r="H7" s="6"/>
      <c r="I7" s="6"/>
      <c r="J7" s="6"/>
      <c r="K7" s="6"/>
    </row>
    <row r="8" spans="1:12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</row>
    <row r="9" spans="1:12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</row>
    <row r="10" spans="1:12" x14ac:dyDescent="0.25">
      <c r="A10" s="14"/>
      <c r="B10" s="15"/>
      <c r="C10" s="15"/>
      <c r="D10" s="6"/>
      <c r="E10" s="6"/>
      <c r="F10" s="6"/>
      <c r="G10" s="6"/>
      <c r="H10" s="6"/>
      <c r="I10" s="6"/>
      <c r="J10" s="6"/>
      <c r="K10" s="6"/>
      <c r="L10" s="6"/>
    </row>
    <row r="11" spans="1:12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</row>
    <row r="12" spans="1:12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</row>
    <row r="13" spans="1:12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</row>
    <row r="14" spans="1:12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</row>
    <row r="15" spans="1:12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</row>
    <row r="16" spans="1:12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</row>
    <row r="17" spans="1:12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</row>
    <row r="18" spans="1:12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</row>
    <row r="19" spans="1:12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</row>
    <row r="20" spans="1:12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</row>
    <row r="21" spans="1:12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</row>
    <row r="22" spans="1:12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</row>
    <row r="23" spans="1:12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18C36-BE1F-49FC-B25E-56C816F58399}">
  <sheetPr codeName="Sheet4"/>
  <dimension ref="A2:C5"/>
  <sheetViews>
    <sheetView workbookViewId="0">
      <selection activeCell="A2" sqref="A2:B2"/>
    </sheetView>
  </sheetViews>
  <sheetFormatPr baseColWidth="10" defaultColWidth="9.140625" defaultRowHeight="15" x14ac:dyDescent="0.25"/>
  <cols>
    <col min="1" max="1" width="19.85546875" customWidth="1"/>
  </cols>
  <sheetData>
    <row r="2" spans="1:3" x14ac:dyDescent="0.25">
      <c r="A2" s="4" t="s">
        <v>55</v>
      </c>
      <c r="B2" s="3">
        <v>25</v>
      </c>
      <c r="C2" s="16" t="s">
        <v>54</v>
      </c>
    </row>
    <row r="3" spans="1:3" x14ac:dyDescent="0.25">
      <c r="A3" s="4" t="s">
        <v>58</v>
      </c>
      <c r="B3" s="3">
        <v>120</v>
      </c>
      <c r="C3" s="16" t="s">
        <v>66</v>
      </c>
    </row>
    <row r="4" spans="1:3" x14ac:dyDescent="0.25">
      <c r="A4" s="4" t="s">
        <v>59</v>
      </c>
      <c r="B4" s="3">
        <v>36</v>
      </c>
      <c r="C4" s="16" t="s">
        <v>61</v>
      </c>
    </row>
    <row r="5" spans="1:3" x14ac:dyDescent="0.25">
      <c r="A5" s="4" t="s">
        <v>60</v>
      </c>
      <c r="B5" s="3">
        <v>25</v>
      </c>
      <c r="C5" s="16" t="s">
        <v>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6B8E5-3A98-4A7C-82A9-1A8A9181DF59}">
  <sheetPr codeName="Hoja2"/>
  <dimension ref="A2:B2"/>
  <sheetViews>
    <sheetView workbookViewId="0">
      <selection activeCell="D11" sqref="D11"/>
    </sheetView>
  </sheetViews>
  <sheetFormatPr baseColWidth="10" defaultRowHeight="15" x14ac:dyDescent="0.25"/>
  <cols>
    <col min="1" max="1" width="17.7109375" customWidth="1"/>
  </cols>
  <sheetData>
    <row r="2" spans="1:2" x14ac:dyDescent="0.25">
      <c r="A2" s="4" t="s">
        <v>67</v>
      </c>
      <c r="B2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36F5A-4B6B-4534-842A-CF1ADF487D54}">
  <sheetPr codeName="Hoja1"/>
  <dimension ref="A2:U37"/>
  <sheetViews>
    <sheetView tabSelected="1" workbookViewId="0">
      <selection activeCell="I9" sqref="I9"/>
    </sheetView>
  </sheetViews>
  <sheetFormatPr baseColWidth="10" defaultColWidth="9.140625" defaultRowHeight="15" x14ac:dyDescent="0.25"/>
  <cols>
    <col min="1" max="1" width="9.7109375" customWidth="1"/>
    <col min="2" max="2" width="20" customWidth="1"/>
    <col min="3" max="3" width="37.28515625" customWidth="1"/>
    <col min="5" max="5" width="27.42578125" customWidth="1"/>
    <col min="6" max="6" width="37.7109375" customWidth="1"/>
    <col min="8" max="8" width="27.85546875" customWidth="1"/>
    <col min="9" max="9" width="18.28515625" customWidth="1"/>
  </cols>
  <sheetData>
    <row r="2" spans="2:9" x14ac:dyDescent="0.25">
      <c r="B2" s="3" t="s">
        <v>12</v>
      </c>
      <c r="C2" s="25">
        <f>PACIENTE!B2</f>
        <v>0</v>
      </c>
      <c r="D2" s="26"/>
      <c r="E2" s="26"/>
      <c r="F2" s="27"/>
    </row>
    <row r="3" spans="2:9" x14ac:dyDescent="0.25">
      <c r="B3" s="3" t="s">
        <v>13</v>
      </c>
      <c r="C3" s="28">
        <f>PACIENTE!B3</f>
        <v>45387</v>
      </c>
      <c r="D3" s="26"/>
      <c r="E3" s="26"/>
      <c r="F3" s="27"/>
    </row>
    <row r="4" spans="2:9" x14ac:dyDescent="0.25">
      <c r="B4" s="3" t="s">
        <v>14</v>
      </c>
      <c r="C4" s="28">
        <f>PACIENTE!B4</f>
        <v>18358</v>
      </c>
      <c r="D4" s="26"/>
      <c r="E4" s="26"/>
      <c r="F4" s="27"/>
    </row>
    <row r="5" spans="2:9" x14ac:dyDescent="0.25">
      <c r="B5" s="3" t="s">
        <v>57</v>
      </c>
      <c r="C5" s="25">
        <f>PACIENTE!B9</f>
        <v>0</v>
      </c>
      <c r="D5" s="26"/>
      <c r="E5" s="26"/>
      <c r="F5" s="27"/>
    </row>
    <row r="7" spans="2:9" x14ac:dyDescent="0.25">
      <c r="B7" s="23" t="s">
        <v>56</v>
      </c>
      <c r="C7" s="24"/>
      <c r="E7" s="22" t="s">
        <v>53</v>
      </c>
      <c r="F7" s="22"/>
      <c r="H7" s="22" t="s">
        <v>53</v>
      </c>
      <c r="I7" s="22"/>
    </row>
    <row r="8" spans="2:9" x14ac:dyDescent="0.25">
      <c r="B8" s="7" t="s">
        <v>1</v>
      </c>
      <c r="C8" s="7" t="str" cm="1">
        <f t="array" ref="C8">IF(ISBLANK(PACIENTE!B4),ShowCourseEscrita(PACIENTE!B9,SDMT!B2),ShowInfantilEscrita(PACIENTE!B7,SDMT!B2))</f>
        <v>Muy Baja</v>
      </c>
      <c r="E8" s="7" t="s">
        <v>62</v>
      </c>
      <c r="F8" s="7" cm="1">
        <f t="array" ref="F8">IF( OR(ISBLANK(PACIENTE!B4), PACIENTE!B7 &lt; 50), "NO APLICA", ROCF(PACIENTE!B7, ROCF!B2))</f>
        <v>9</v>
      </c>
      <c r="H8" s="7" t="s">
        <v>68</v>
      </c>
      <c r="I8" s="7" cm="1">
        <f t="array" ref="I8">IF( OR(ISBLANK(PACIENTE!B4), PACIENTE!B7 &lt; 50), "NO APLICA", FCSRT_1(PACIENTE!B7, FCSRT!B2))</f>
        <v>2</v>
      </c>
    </row>
    <row r="9" spans="2:9" x14ac:dyDescent="0.25">
      <c r="B9" s="7" t="s">
        <v>2</v>
      </c>
      <c r="C9" s="7" t="str" cm="1">
        <f t="array" ref="C9">IF(ISBLANK(PACIENTE!B4),ShowCourseOral(PACIENTE!B9,SDMT!B3),ShowInfantilOral(PACIENTE!B7,SDMT!B3))</f>
        <v>Muy Baja</v>
      </c>
      <c r="E9" s="7" t="s">
        <v>63</v>
      </c>
      <c r="F9" s="7" cm="1">
        <f t="array" ref="F9">IF( OR(ISBLANK(PACIENTE!B4), PACIENTE!B7 &lt; 50), "NO APLICA", ROCF_2(PACIENTE!B7, ROCF!B3))</f>
        <v>4</v>
      </c>
    </row>
    <row r="10" spans="2:9" x14ac:dyDescent="0.25">
      <c r="E10" s="7" t="s">
        <v>64</v>
      </c>
      <c r="F10" s="7" cm="1">
        <f t="array" ref="F10">IF( OR(ISBLANK(PACIENTE!B4), PACIENTE!B7 &lt; 50), "NO APLICA", ROCF_3(PACIENTE!B7, ROCF!B4))</f>
        <v>18</v>
      </c>
    </row>
    <row r="11" spans="2:9" x14ac:dyDescent="0.25">
      <c r="E11" s="7" t="s">
        <v>65</v>
      </c>
      <c r="F11" s="7" cm="1">
        <f t="array" ref="F11">IF( OR(ISBLANK(PACIENTE!B4), PACIENTE!B7 &lt; 50), "NO APLICA", ROCF_4(PACIENTE!B7, ROCF!B5))</f>
        <v>18</v>
      </c>
    </row>
    <row r="22" spans="5:21" x14ac:dyDescent="0.25">
      <c r="E22" s="1" cm="1">
        <f t="array" ref="E22:U22">INDEX(ROCF_TABLE[[2]:[18]], MATCH(PACIENTE!B7, ROCF_TABLE[Edad], 0), {1,2,3,4,5,6,7,8,9,10,11,12,13,14,15,16,17})</f>
        <v>12</v>
      </c>
      <c r="F22" s="1">
        <v>13</v>
      </c>
      <c r="G22" s="1">
        <v>14</v>
      </c>
      <c r="H22" s="1">
        <v>18.5</v>
      </c>
      <c r="I22" s="1">
        <v>22</v>
      </c>
      <c r="J22" s="1">
        <v>24.5</v>
      </c>
      <c r="K22" s="1">
        <v>27.5</v>
      </c>
      <c r="L22" s="1">
        <v>30</v>
      </c>
      <c r="M22" s="1">
        <v>32</v>
      </c>
      <c r="N22" s="1">
        <v>34</v>
      </c>
      <c r="O22" s="1">
        <v>35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36</v>
      </c>
    </row>
    <row r="23" spans="5:21" x14ac:dyDescent="0.25">
      <c r="E23" s="1">
        <f>ROCF!B2</f>
        <v>25</v>
      </c>
      <c r="F23" s="1">
        <f>ROCF!B2</f>
        <v>25</v>
      </c>
      <c r="G23" s="1">
        <f>ROCF!B2</f>
        <v>25</v>
      </c>
      <c r="H23" s="1">
        <f>ROCF!B2</f>
        <v>25</v>
      </c>
      <c r="I23" s="1">
        <f>ROCF!B2</f>
        <v>25</v>
      </c>
      <c r="J23" s="1">
        <f>ROCF!B2</f>
        <v>25</v>
      </c>
      <c r="K23" s="1">
        <f>ROCF!B2</f>
        <v>25</v>
      </c>
      <c r="L23" s="1">
        <f>ROCF!B2</f>
        <v>25</v>
      </c>
      <c r="M23" s="1">
        <f>ROCF!B2</f>
        <v>25</v>
      </c>
      <c r="N23" s="1">
        <f>ROCF!B2</f>
        <v>25</v>
      </c>
      <c r="O23" s="1">
        <f>ROCF!B2</f>
        <v>25</v>
      </c>
      <c r="P23" s="1">
        <f>ROCF!B2</f>
        <v>25</v>
      </c>
      <c r="Q23" s="1">
        <f>ROCF!B2</f>
        <v>25</v>
      </c>
      <c r="R23" s="1">
        <f>ROCF!B2</f>
        <v>25</v>
      </c>
      <c r="S23" s="1">
        <f>ROCF!B2</f>
        <v>25</v>
      </c>
      <c r="T23" s="1">
        <f>ROCF!B2</f>
        <v>25</v>
      </c>
      <c r="U23" s="1">
        <f>ROCF!B2</f>
        <v>25</v>
      </c>
    </row>
    <row r="34" spans="1:4" x14ac:dyDescent="0.25">
      <c r="A34" s="1" t="e" cm="1">
        <f t="array" ref="A34:D34">IF(ISBLANK(PACIENTE!B4),INDEX(DATOS!N2:Q11, MATCH(PACIENTE!B9, DATOS!M2:M11, 0), {1,2,3,4}),INDEX(DATOS!B2:E94, MATCH(B7, DATOS!A2:A94, 0), {1,2,3,4}))</f>
        <v>#N/A</v>
      </c>
      <c r="B34" s="1" t="e">
        <v>#N/A</v>
      </c>
      <c r="C34" s="1" t="e">
        <v>#N/A</v>
      </c>
      <c r="D34" s="1" t="e">
        <v>#N/A</v>
      </c>
    </row>
    <row r="35" spans="1:4" x14ac:dyDescent="0.25">
      <c r="A35" s="1" t="e" cm="1">
        <f t="array" ref="A35:D35">IF(ISBLANK(PACIENTE!B4),INDEX(DATOS!T2:W11, MATCH(PACIENTE!B9, DATOS!S2:S11, 0), {1,2,3,4}),INDEX(DATOS!H2:K94, MATCH(B7, DATOS!G2:G94, 0), {1,2,3,4}))</f>
        <v>#N/A</v>
      </c>
      <c r="B35" s="1" t="e">
        <v>#N/A</v>
      </c>
      <c r="C35" s="1" t="e">
        <v>#N/A</v>
      </c>
      <c r="D35" s="1" t="e">
        <v>#N/A</v>
      </c>
    </row>
    <row r="36" spans="1:4" x14ac:dyDescent="0.25">
      <c r="A36" s="1">
        <f>SDMT!$B$2</f>
        <v>0</v>
      </c>
      <c r="B36" s="1">
        <f>SDMT!$B$2</f>
        <v>0</v>
      </c>
      <c r="C36" s="1">
        <f>SDMT!$B$2</f>
        <v>0</v>
      </c>
      <c r="D36" s="1">
        <f>SDMT!$B$2</f>
        <v>0</v>
      </c>
    </row>
    <row r="37" spans="1:4" x14ac:dyDescent="0.25">
      <c r="A37" s="1">
        <f>SDMT!$B$3</f>
        <v>0</v>
      </c>
      <c r="B37" s="1">
        <f>SDMT!$B$3</f>
        <v>0</v>
      </c>
      <c r="C37" s="1">
        <f>SDMT!$B$3</f>
        <v>0</v>
      </c>
      <c r="D37" s="1">
        <f>SDMT!$B$3</f>
        <v>0</v>
      </c>
    </row>
  </sheetData>
  <mergeCells count="7">
    <mergeCell ref="H7:I7"/>
    <mergeCell ref="E7:F7"/>
    <mergeCell ref="B7:C7"/>
    <mergeCell ref="C2:F2"/>
    <mergeCell ref="C3:F3"/>
    <mergeCell ref="C4:F4"/>
    <mergeCell ref="C5:F5"/>
  </mergeCells>
  <pageMargins left="0.7" right="0.7" top="0.75" bottom="0.75" header="0.3" footer="0.3"/>
  <ignoredErrors>
    <ignoredError sqref="E22 A34:D35 F22:U22" evalError="1"/>
  </ignoredErrors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DEFDC-69F9-4A5C-92AE-13492D74EF03}">
  <sheetPr codeName="Sheet2"/>
  <dimension ref="A1:AP95"/>
  <sheetViews>
    <sheetView topLeftCell="R1" zoomScale="77" zoomScaleNormal="77" workbookViewId="0">
      <selection activeCell="W21" sqref="W21"/>
    </sheetView>
  </sheetViews>
  <sheetFormatPr baseColWidth="10" defaultColWidth="9.140625" defaultRowHeight="15" x14ac:dyDescent="0.25"/>
  <cols>
    <col min="2" max="2" width="11" customWidth="1"/>
    <col min="4" max="4" width="9.7109375" customWidth="1"/>
    <col min="14" max="14" width="11" customWidth="1"/>
    <col min="16" max="16" width="9.7109375" customWidth="1"/>
    <col min="20" max="20" width="11" customWidth="1"/>
    <col min="22" max="22" width="9.7109375" customWidth="1"/>
  </cols>
  <sheetData>
    <row r="1" spans="1:42" x14ac:dyDescent="0.25">
      <c r="A1" t="s">
        <v>0</v>
      </c>
      <c r="B1" t="s">
        <v>3</v>
      </c>
      <c r="C1" t="s">
        <v>4</v>
      </c>
      <c r="D1" t="s">
        <v>5</v>
      </c>
      <c r="E1" t="s">
        <v>6</v>
      </c>
      <c r="G1" t="s">
        <v>0</v>
      </c>
      <c r="H1" t="s">
        <v>3</v>
      </c>
      <c r="I1" t="s">
        <v>4</v>
      </c>
      <c r="J1" t="s">
        <v>5</v>
      </c>
      <c r="K1" t="s">
        <v>6</v>
      </c>
      <c r="M1" s="12" t="s">
        <v>19</v>
      </c>
      <c r="N1" s="12" t="s">
        <v>3</v>
      </c>
      <c r="O1" s="12" t="s">
        <v>4</v>
      </c>
      <c r="P1" s="12" t="s">
        <v>5</v>
      </c>
      <c r="Q1" s="12" t="s">
        <v>6</v>
      </c>
      <c r="S1" s="12" t="s">
        <v>19</v>
      </c>
      <c r="T1" s="12" t="s">
        <v>3</v>
      </c>
      <c r="U1" s="12" t="s">
        <v>4</v>
      </c>
      <c r="V1" s="12" t="s">
        <v>5</v>
      </c>
      <c r="W1" s="12" t="s">
        <v>6</v>
      </c>
      <c r="Y1" t="s">
        <v>0</v>
      </c>
      <c r="Z1" t="s">
        <v>36</v>
      </c>
      <c r="AA1" t="s">
        <v>37</v>
      </c>
      <c r="AB1" t="s">
        <v>38</v>
      </c>
      <c r="AC1" t="s">
        <v>39</v>
      </c>
      <c r="AD1" t="s">
        <v>40</v>
      </c>
      <c r="AE1" t="s">
        <v>41</v>
      </c>
      <c r="AF1" t="s">
        <v>42</v>
      </c>
      <c r="AG1" t="s">
        <v>43</v>
      </c>
      <c r="AH1" t="s">
        <v>44</v>
      </c>
      <c r="AI1" t="s">
        <v>45</v>
      </c>
      <c r="AJ1" t="s">
        <v>46</v>
      </c>
      <c r="AK1" t="s">
        <v>47</v>
      </c>
      <c r="AL1" t="s">
        <v>48</v>
      </c>
      <c r="AM1" t="s">
        <v>49</v>
      </c>
      <c r="AN1" t="s">
        <v>50</v>
      </c>
      <c r="AO1" t="s">
        <v>51</v>
      </c>
      <c r="AP1" t="s">
        <v>52</v>
      </c>
    </row>
    <row r="2" spans="1:42" x14ac:dyDescent="0.25">
      <c r="A2">
        <v>8</v>
      </c>
      <c r="B2">
        <v>18</v>
      </c>
      <c r="C2">
        <v>21</v>
      </c>
      <c r="D2">
        <v>36</v>
      </c>
      <c r="E2">
        <v>110</v>
      </c>
      <c r="G2">
        <v>8</v>
      </c>
      <c r="H2">
        <v>22</v>
      </c>
      <c r="I2">
        <v>26</v>
      </c>
      <c r="J2">
        <v>44</v>
      </c>
      <c r="K2">
        <v>110</v>
      </c>
      <c r="M2" s="10" t="s">
        <v>18</v>
      </c>
      <c r="N2" s="10">
        <v>19</v>
      </c>
      <c r="O2" s="10">
        <v>22</v>
      </c>
      <c r="P2" s="10">
        <v>36</v>
      </c>
      <c r="Q2" s="10">
        <v>110</v>
      </c>
      <c r="S2" s="10" t="s">
        <v>18</v>
      </c>
      <c r="T2">
        <v>22</v>
      </c>
      <c r="U2">
        <v>27</v>
      </c>
      <c r="V2">
        <v>44</v>
      </c>
      <c r="W2" s="10">
        <v>110</v>
      </c>
      <c r="Y2">
        <v>50</v>
      </c>
      <c r="Z2">
        <v>13</v>
      </c>
      <c r="AA2">
        <v>14</v>
      </c>
      <c r="AB2">
        <v>17</v>
      </c>
      <c r="AC2">
        <v>19</v>
      </c>
      <c r="AD2">
        <v>23</v>
      </c>
      <c r="AE2">
        <v>27</v>
      </c>
      <c r="AF2">
        <v>29</v>
      </c>
      <c r="AG2">
        <v>31</v>
      </c>
      <c r="AH2">
        <v>33</v>
      </c>
      <c r="AI2">
        <v>34</v>
      </c>
      <c r="AJ2">
        <v>35</v>
      </c>
      <c r="AP2">
        <v>36</v>
      </c>
    </row>
    <row r="3" spans="1:42" x14ac:dyDescent="0.25">
      <c r="A3">
        <v>9</v>
      </c>
      <c r="B3">
        <v>21</v>
      </c>
      <c r="C3">
        <v>25</v>
      </c>
      <c r="D3">
        <v>40</v>
      </c>
      <c r="E3">
        <v>110</v>
      </c>
      <c r="G3">
        <v>9</v>
      </c>
      <c r="H3">
        <v>27</v>
      </c>
      <c r="I3">
        <v>32</v>
      </c>
      <c r="J3">
        <v>49</v>
      </c>
      <c r="K3">
        <v>110</v>
      </c>
      <c r="M3" s="11" t="s">
        <v>22</v>
      </c>
      <c r="N3" s="11">
        <v>22</v>
      </c>
      <c r="O3" s="11">
        <v>26</v>
      </c>
      <c r="P3" s="11">
        <v>43</v>
      </c>
      <c r="Q3" s="11">
        <v>110</v>
      </c>
      <c r="S3" s="11" t="s">
        <v>22</v>
      </c>
      <c r="T3">
        <v>28</v>
      </c>
      <c r="U3">
        <v>33</v>
      </c>
      <c r="V3">
        <v>51</v>
      </c>
      <c r="W3" s="11">
        <v>110</v>
      </c>
      <c r="Y3">
        <v>51</v>
      </c>
      <c r="Z3">
        <v>13</v>
      </c>
      <c r="AA3">
        <v>14</v>
      </c>
      <c r="AB3">
        <v>17</v>
      </c>
      <c r="AC3">
        <v>19</v>
      </c>
      <c r="AD3">
        <v>23</v>
      </c>
      <c r="AE3">
        <v>27</v>
      </c>
      <c r="AF3">
        <v>29</v>
      </c>
      <c r="AG3">
        <v>31</v>
      </c>
      <c r="AH3">
        <v>33</v>
      </c>
      <c r="AI3">
        <v>34</v>
      </c>
      <c r="AJ3">
        <v>35</v>
      </c>
      <c r="AP3">
        <v>36</v>
      </c>
    </row>
    <row r="4" spans="1:42" x14ac:dyDescent="0.25">
      <c r="A4">
        <v>10</v>
      </c>
      <c r="B4">
        <v>24</v>
      </c>
      <c r="C4">
        <v>29</v>
      </c>
      <c r="D4">
        <v>47</v>
      </c>
      <c r="E4">
        <v>110</v>
      </c>
      <c r="G4">
        <v>10</v>
      </c>
      <c r="H4">
        <v>33</v>
      </c>
      <c r="I4">
        <v>38</v>
      </c>
      <c r="J4">
        <v>59</v>
      </c>
      <c r="K4">
        <v>110</v>
      </c>
      <c r="M4" s="10" t="s">
        <v>23</v>
      </c>
      <c r="N4" s="10">
        <v>23</v>
      </c>
      <c r="O4" s="10">
        <v>28</v>
      </c>
      <c r="P4" s="10">
        <v>46</v>
      </c>
      <c r="Q4" s="10">
        <v>110</v>
      </c>
      <c r="S4" s="10" t="s">
        <v>23</v>
      </c>
      <c r="T4">
        <v>32</v>
      </c>
      <c r="U4">
        <v>38</v>
      </c>
      <c r="V4">
        <v>59</v>
      </c>
      <c r="W4" s="10">
        <v>110</v>
      </c>
      <c r="Y4">
        <v>52</v>
      </c>
      <c r="Z4">
        <v>13</v>
      </c>
      <c r="AA4">
        <v>14</v>
      </c>
      <c r="AB4">
        <v>17</v>
      </c>
      <c r="AC4">
        <v>19</v>
      </c>
      <c r="AD4">
        <v>23</v>
      </c>
      <c r="AE4">
        <v>27</v>
      </c>
      <c r="AF4">
        <v>29</v>
      </c>
      <c r="AG4">
        <v>31</v>
      </c>
      <c r="AH4">
        <v>33</v>
      </c>
      <c r="AI4">
        <v>34</v>
      </c>
      <c r="AJ4">
        <v>35</v>
      </c>
      <c r="AP4">
        <v>36</v>
      </c>
    </row>
    <row r="5" spans="1:42" x14ac:dyDescent="0.25">
      <c r="A5">
        <v>11</v>
      </c>
      <c r="B5">
        <v>30</v>
      </c>
      <c r="C5">
        <v>34</v>
      </c>
      <c r="D5">
        <v>52</v>
      </c>
      <c r="E5">
        <v>110</v>
      </c>
      <c r="G5">
        <v>11</v>
      </c>
      <c r="H5">
        <v>37</v>
      </c>
      <c r="I5">
        <v>42</v>
      </c>
      <c r="J5">
        <v>63</v>
      </c>
      <c r="K5">
        <v>110</v>
      </c>
      <c r="M5" s="11" t="s">
        <v>24</v>
      </c>
      <c r="N5" s="11">
        <v>30</v>
      </c>
      <c r="O5" s="11">
        <v>34</v>
      </c>
      <c r="P5" s="11">
        <v>52</v>
      </c>
      <c r="Q5" s="11">
        <v>110</v>
      </c>
      <c r="S5" s="11" t="s">
        <v>24</v>
      </c>
      <c r="T5">
        <v>37</v>
      </c>
      <c r="U5">
        <v>43</v>
      </c>
      <c r="V5">
        <v>63</v>
      </c>
      <c r="W5" s="11">
        <v>110</v>
      </c>
      <c r="Y5">
        <v>53</v>
      </c>
      <c r="Z5">
        <v>13</v>
      </c>
      <c r="AA5">
        <v>14</v>
      </c>
      <c r="AB5">
        <v>17</v>
      </c>
      <c r="AC5">
        <v>19</v>
      </c>
      <c r="AD5">
        <v>23</v>
      </c>
      <c r="AE5">
        <v>27</v>
      </c>
      <c r="AF5">
        <v>29</v>
      </c>
      <c r="AG5">
        <v>31</v>
      </c>
      <c r="AH5">
        <v>33</v>
      </c>
      <c r="AI5">
        <v>34</v>
      </c>
      <c r="AJ5">
        <v>35</v>
      </c>
      <c r="AP5">
        <v>36</v>
      </c>
    </row>
    <row r="6" spans="1:42" x14ac:dyDescent="0.25">
      <c r="A6">
        <v>12</v>
      </c>
      <c r="B6">
        <v>25</v>
      </c>
      <c r="C6">
        <v>32</v>
      </c>
      <c r="D6">
        <v>60</v>
      </c>
      <c r="E6">
        <v>110</v>
      </c>
      <c r="G6">
        <v>12</v>
      </c>
      <c r="H6">
        <v>38</v>
      </c>
      <c r="I6">
        <v>44</v>
      </c>
      <c r="J6">
        <v>67</v>
      </c>
      <c r="K6">
        <v>110</v>
      </c>
      <c r="M6" s="10" t="s">
        <v>25</v>
      </c>
      <c r="N6" s="10">
        <v>25</v>
      </c>
      <c r="O6" s="10">
        <v>33</v>
      </c>
      <c r="P6" s="10">
        <v>62</v>
      </c>
      <c r="Q6" s="10">
        <v>110</v>
      </c>
      <c r="S6" s="10" t="s">
        <v>25</v>
      </c>
      <c r="T6">
        <v>39</v>
      </c>
      <c r="U6">
        <v>45</v>
      </c>
      <c r="V6">
        <v>67</v>
      </c>
      <c r="W6" s="10">
        <v>110</v>
      </c>
      <c r="Y6">
        <v>54</v>
      </c>
      <c r="Z6">
        <v>13</v>
      </c>
      <c r="AA6">
        <v>14</v>
      </c>
      <c r="AB6">
        <v>17</v>
      </c>
      <c r="AC6">
        <v>19</v>
      </c>
      <c r="AD6">
        <v>23</v>
      </c>
      <c r="AE6">
        <v>27</v>
      </c>
      <c r="AF6">
        <v>29</v>
      </c>
      <c r="AG6">
        <v>31</v>
      </c>
      <c r="AH6">
        <v>33</v>
      </c>
      <c r="AI6">
        <v>34</v>
      </c>
      <c r="AJ6">
        <v>35</v>
      </c>
      <c r="AP6">
        <v>36</v>
      </c>
    </row>
    <row r="7" spans="1:42" x14ac:dyDescent="0.25">
      <c r="A7">
        <v>13</v>
      </c>
      <c r="B7">
        <v>34</v>
      </c>
      <c r="C7">
        <v>39</v>
      </c>
      <c r="D7">
        <v>60</v>
      </c>
      <c r="E7">
        <v>110</v>
      </c>
      <c r="G7">
        <v>13</v>
      </c>
      <c r="H7">
        <v>45</v>
      </c>
      <c r="I7">
        <v>50</v>
      </c>
      <c r="J7">
        <v>70</v>
      </c>
      <c r="K7">
        <v>110</v>
      </c>
      <c r="M7" s="11" t="s">
        <v>26</v>
      </c>
      <c r="N7" s="11">
        <v>36</v>
      </c>
      <c r="O7" s="11">
        <v>40</v>
      </c>
      <c r="P7" s="11">
        <v>58</v>
      </c>
      <c r="Q7" s="11">
        <v>110</v>
      </c>
      <c r="S7" s="11" t="s">
        <v>26</v>
      </c>
      <c r="T7">
        <v>45</v>
      </c>
      <c r="U7">
        <v>50</v>
      </c>
      <c r="V7">
        <v>70</v>
      </c>
      <c r="W7" s="11">
        <v>110</v>
      </c>
      <c r="Y7">
        <v>55</v>
      </c>
      <c r="Z7">
        <v>13</v>
      </c>
      <c r="AA7">
        <v>14</v>
      </c>
      <c r="AB7">
        <v>17</v>
      </c>
      <c r="AC7">
        <v>19</v>
      </c>
      <c r="AD7">
        <v>23</v>
      </c>
      <c r="AE7">
        <v>27</v>
      </c>
      <c r="AF7">
        <v>29</v>
      </c>
      <c r="AG7">
        <v>31</v>
      </c>
      <c r="AH7">
        <v>33</v>
      </c>
      <c r="AI7">
        <v>34</v>
      </c>
      <c r="AJ7">
        <v>35</v>
      </c>
      <c r="AP7">
        <v>36</v>
      </c>
    </row>
    <row r="8" spans="1:42" x14ac:dyDescent="0.25">
      <c r="A8">
        <v>14</v>
      </c>
      <c r="B8">
        <v>35</v>
      </c>
      <c r="C8">
        <v>40</v>
      </c>
      <c r="D8">
        <v>60</v>
      </c>
      <c r="E8">
        <v>110</v>
      </c>
      <c r="G8">
        <v>14</v>
      </c>
      <c r="H8">
        <v>45</v>
      </c>
      <c r="I8">
        <v>50</v>
      </c>
      <c r="J8">
        <v>70</v>
      </c>
      <c r="K8">
        <v>110</v>
      </c>
      <c r="M8" s="10" t="s">
        <v>27</v>
      </c>
      <c r="N8" s="10">
        <v>36</v>
      </c>
      <c r="O8" s="10">
        <v>41</v>
      </c>
      <c r="P8" s="10">
        <v>60</v>
      </c>
      <c r="Q8" s="10">
        <v>110</v>
      </c>
      <c r="S8" s="10" t="s">
        <v>27</v>
      </c>
      <c r="T8">
        <v>45</v>
      </c>
      <c r="U8">
        <v>50</v>
      </c>
      <c r="V8">
        <v>70</v>
      </c>
      <c r="W8" s="10">
        <v>110</v>
      </c>
      <c r="Y8">
        <v>56</v>
      </c>
      <c r="Z8">
        <v>13</v>
      </c>
      <c r="AA8">
        <v>14</v>
      </c>
      <c r="AB8">
        <v>17</v>
      </c>
      <c r="AC8">
        <v>19</v>
      </c>
      <c r="AD8">
        <v>23</v>
      </c>
      <c r="AE8">
        <v>27</v>
      </c>
      <c r="AF8">
        <v>29</v>
      </c>
      <c r="AG8">
        <v>31</v>
      </c>
      <c r="AH8">
        <v>33</v>
      </c>
      <c r="AI8">
        <v>34</v>
      </c>
      <c r="AJ8">
        <v>35</v>
      </c>
      <c r="AP8">
        <v>36</v>
      </c>
    </row>
    <row r="9" spans="1:42" x14ac:dyDescent="0.25">
      <c r="A9">
        <v>15</v>
      </c>
      <c r="B9">
        <v>36</v>
      </c>
      <c r="C9">
        <v>41</v>
      </c>
      <c r="D9">
        <v>63</v>
      </c>
      <c r="E9">
        <v>110</v>
      </c>
      <c r="G9">
        <v>15</v>
      </c>
      <c r="H9">
        <v>46</v>
      </c>
      <c r="I9">
        <v>52</v>
      </c>
      <c r="J9">
        <v>76</v>
      </c>
      <c r="K9">
        <v>110</v>
      </c>
      <c r="M9" s="11" t="s">
        <v>17</v>
      </c>
      <c r="N9" s="11">
        <v>39</v>
      </c>
      <c r="O9" s="11">
        <v>44</v>
      </c>
      <c r="P9" s="11">
        <v>63</v>
      </c>
      <c r="Q9" s="11">
        <v>110</v>
      </c>
      <c r="S9" s="11" t="s">
        <v>17</v>
      </c>
      <c r="T9">
        <v>46</v>
      </c>
      <c r="U9">
        <v>52</v>
      </c>
      <c r="V9">
        <v>76</v>
      </c>
      <c r="W9" s="11">
        <v>110</v>
      </c>
      <c r="Y9">
        <v>57</v>
      </c>
      <c r="Z9">
        <v>13</v>
      </c>
      <c r="AA9">
        <v>14</v>
      </c>
      <c r="AB9">
        <v>17</v>
      </c>
      <c r="AC9">
        <v>19</v>
      </c>
      <c r="AD9">
        <v>23</v>
      </c>
      <c r="AE9">
        <v>25</v>
      </c>
      <c r="AF9">
        <v>28</v>
      </c>
      <c r="AG9">
        <v>30</v>
      </c>
      <c r="AH9">
        <v>33</v>
      </c>
      <c r="AI9">
        <v>34</v>
      </c>
      <c r="AJ9">
        <v>35</v>
      </c>
      <c r="AP9">
        <v>36</v>
      </c>
    </row>
    <row r="10" spans="1:42" x14ac:dyDescent="0.25">
      <c r="A10">
        <v>16</v>
      </c>
      <c r="B10">
        <v>39</v>
      </c>
      <c r="C10">
        <v>45</v>
      </c>
      <c r="D10">
        <v>66</v>
      </c>
      <c r="E10">
        <v>110</v>
      </c>
      <c r="G10">
        <v>16</v>
      </c>
      <c r="H10">
        <v>52</v>
      </c>
      <c r="I10">
        <v>58</v>
      </c>
      <c r="J10">
        <v>80</v>
      </c>
      <c r="K10">
        <v>110</v>
      </c>
      <c r="M10" s="10" t="s">
        <v>20</v>
      </c>
      <c r="N10" s="10">
        <v>43</v>
      </c>
      <c r="O10" s="10">
        <v>48</v>
      </c>
      <c r="P10" s="10">
        <v>67</v>
      </c>
      <c r="Q10" s="10">
        <v>110</v>
      </c>
      <c r="S10" s="10" t="s">
        <v>20</v>
      </c>
      <c r="T10">
        <v>52</v>
      </c>
      <c r="U10">
        <v>58</v>
      </c>
      <c r="V10">
        <v>80</v>
      </c>
      <c r="W10" s="10">
        <v>110</v>
      </c>
      <c r="Y10">
        <v>58</v>
      </c>
      <c r="Z10">
        <v>13</v>
      </c>
      <c r="AA10">
        <v>14</v>
      </c>
      <c r="AB10">
        <v>17</v>
      </c>
      <c r="AC10">
        <v>19</v>
      </c>
      <c r="AD10">
        <v>23</v>
      </c>
      <c r="AE10">
        <v>25</v>
      </c>
      <c r="AF10">
        <v>28</v>
      </c>
      <c r="AG10">
        <v>30</v>
      </c>
      <c r="AH10">
        <v>33</v>
      </c>
      <c r="AI10">
        <v>34</v>
      </c>
      <c r="AJ10">
        <v>35</v>
      </c>
      <c r="AP10">
        <v>36</v>
      </c>
    </row>
    <row r="11" spans="1:42" x14ac:dyDescent="0.25">
      <c r="A11">
        <v>17</v>
      </c>
      <c r="B11">
        <v>41</v>
      </c>
      <c r="C11">
        <v>46</v>
      </c>
      <c r="D11">
        <v>68</v>
      </c>
      <c r="E11">
        <v>110</v>
      </c>
      <c r="G11">
        <v>17</v>
      </c>
      <c r="H11">
        <v>51</v>
      </c>
      <c r="I11">
        <v>57</v>
      </c>
      <c r="J11">
        <v>83</v>
      </c>
      <c r="K11">
        <v>110</v>
      </c>
      <c r="M11" s="13" t="s">
        <v>21</v>
      </c>
      <c r="N11" s="13">
        <v>43</v>
      </c>
      <c r="O11" s="13">
        <v>48</v>
      </c>
      <c r="P11" s="13">
        <v>70</v>
      </c>
      <c r="Q11" s="13">
        <v>110</v>
      </c>
      <c r="S11" s="11" t="s">
        <v>21</v>
      </c>
      <c r="T11">
        <v>52</v>
      </c>
      <c r="U11">
        <v>58</v>
      </c>
      <c r="V11">
        <v>84</v>
      </c>
      <c r="W11" s="11">
        <v>110</v>
      </c>
      <c r="Y11">
        <v>59</v>
      </c>
      <c r="Z11">
        <v>13</v>
      </c>
      <c r="AA11">
        <v>14</v>
      </c>
      <c r="AB11">
        <v>17</v>
      </c>
      <c r="AC11">
        <v>19</v>
      </c>
      <c r="AD11">
        <v>23</v>
      </c>
      <c r="AE11">
        <v>25</v>
      </c>
      <c r="AF11">
        <v>28</v>
      </c>
      <c r="AG11">
        <v>30</v>
      </c>
      <c r="AH11">
        <v>33</v>
      </c>
      <c r="AI11">
        <v>34</v>
      </c>
      <c r="AJ11">
        <v>35</v>
      </c>
      <c r="AP11">
        <v>36</v>
      </c>
    </row>
    <row r="12" spans="1:42" x14ac:dyDescent="0.25">
      <c r="A12">
        <v>18</v>
      </c>
      <c r="B12">
        <v>33</v>
      </c>
      <c r="C12">
        <v>39</v>
      </c>
      <c r="D12">
        <v>63</v>
      </c>
      <c r="E12">
        <v>110</v>
      </c>
      <c r="G12">
        <v>18</v>
      </c>
      <c r="H12">
        <v>38</v>
      </c>
      <c r="I12">
        <v>47</v>
      </c>
      <c r="J12">
        <v>80</v>
      </c>
      <c r="K12">
        <v>110</v>
      </c>
      <c r="M12" s="30" t="s">
        <v>34</v>
      </c>
      <c r="N12" s="30"/>
      <c r="O12" s="30"/>
      <c r="P12" s="30"/>
      <c r="Q12" s="30"/>
      <c r="S12" s="29" t="s">
        <v>35</v>
      </c>
      <c r="T12" s="29"/>
      <c r="U12" s="29"/>
      <c r="V12" s="29"/>
      <c r="W12" s="29"/>
      <c r="Y12">
        <v>60</v>
      </c>
      <c r="Z12">
        <v>13</v>
      </c>
      <c r="AA12">
        <v>14</v>
      </c>
      <c r="AB12">
        <v>17</v>
      </c>
      <c r="AC12">
        <v>19.5</v>
      </c>
      <c r="AD12">
        <v>22</v>
      </c>
      <c r="AE12">
        <v>25</v>
      </c>
      <c r="AF12">
        <v>27</v>
      </c>
      <c r="AG12">
        <v>29</v>
      </c>
      <c r="AH12">
        <v>32</v>
      </c>
      <c r="AI12">
        <v>33</v>
      </c>
      <c r="AJ12">
        <v>34</v>
      </c>
      <c r="AK12">
        <v>35</v>
      </c>
      <c r="AP12">
        <v>36</v>
      </c>
    </row>
    <row r="13" spans="1:42" x14ac:dyDescent="0.25">
      <c r="A13">
        <v>19</v>
      </c>
      <c r="B13">
        <v>33</v>
      </c>
      <c r="C13">
        <v>39</v>
      </c>
      <c r="D13">
        <v>63</v>
      </c>
      <c r="E13">
        <v>110</v>
      </c>
      <c r="G13">
        <v>19</v>
      </c>
      <c r="H13">
        <v>38</v>
      </c>
      <c r="I13">
        <v>47</v>
      </c>
      <c r="J13">
        <v>80</v>
      </c>
      <c r="K13">
        <v>110</v>
      </c>
      <c r="M13" s="9"/>
      <c r="N13" s="9"/>
      <c r="O13" s="9"/>
      <c r="P13" s="9"/>
      <c r="Q13" s="9"/>
      <c r="Y13">
        <v>61</v>
      </c>
      <c r="Z13">
        <v>13</v>
      </c>
      <c r="AA13">
        <v>14</v>
      </c>
      <c r="AB13">
        <v>17</v>
      </c>
      <c r="AC13">
        <v>19.5</v>
      </c>
      <c r="AD13">
        <v>22</v>
      </c>
      <c r="AE13">
        <v>25</v>
      </c>
      <c r="AF13">
        <v>27</v>
      </c>
      <c r="AG13">
        <v>29</v>
      </c>
      <c r="AH13">
        <v>32</v>
      </c>
      <c r="AI13">
        <v>33</v>
      </c>
      <c r="AJ13">
        <v>34</v>
      </c>
      <c r="AK13">
        <v>35</v>
      </c>
      <c r="AP13">
        <v>36</v>
      </c>
    </row>
    <row r="14" spans="1:42" x14ac:dyDescent="0.25">
      <c r="A14">
        <v>20</v>
      </c>
      <c r="B14">
        <v>33</v>
      </c>
      <c r="C14">
        <v>39</v>
      </c>
      <c r="D14">
        <v>63</v>
      </c>
      <c r="E14">
        <v>110</v>
      </c>
      <c r="G14">
        <v>20</v>
      </c>
      <c r="H14">
        <v>38</v>
      </c>
      <c r="I14">
        <v>47</v>
      </c>
      <c r="J14">
        <v>80</v>
      </c>
      <c r="K14">
        <v>110</v>
      </c>
      <c r="M14" s="17"/>
      <c r="N14" s="17"/>
      <c r="O14" s="17"/>
      <c r="P14" s="17"/>
      <c r="Q14" s="17"/>
      <c r="Y14">
        <v>62</v>
      </c>
      <c r="Z14">
        <v>13</v>
      </c>
      <c r="AA14">
        <v>14</v>
      </c>
      <c r="AB14">
        <v>17</v>
      </c>
      <c r="AC14">
        <v>19.5</v>
      </c>
      <c r="AD14">
        <v>22</v>
      </c>
      <c r="AE14">
        <v>25</v>
      </c>
      <c r="AF14">
        <v>27</v>
      </c>
      <c r="AG14">
        <v>29</v>
      </c>
      <c r="AH14">
        <v>32</v>
      </c>
      <c r="AI14">
        <v>33</v>
      </c>
      <c r="AJ14">
        <v>34</v>
      </c>
      <c r="AK14">
        <v>35</v>
      </c>
      <c r="AP14">
        <v>36</v>
      </c>
    </row>
    <row r="15" spans="1:42" x14ac:dyDescent="0.25">
      <c r="A15">
        <v>21</v>
      </c>
      <c r="B15">
        <v>33</v>
      </c>
      <c r="C15">
        <v>39</v>
      </c>
      <c r="D15">
        <v>63</v>
      </c>
      <c r="E15">
        <v>110</v>
      </c>
      <c r="G15">
        <v>21</v>
      </c>
      <c r="H15">
        <v>38</v>
      </c>
      <c r="I15">
        <v>47</v>
      </c>
      <c r="J15">
        <v>80</v>
      </c>
      <c r="K15">
        <v>110</v>
      </c>
      <c r="M15" s="9"/>
      <c r="N15" s="9"/>
      <c r="O15" s="9"/>
      <c r="P15" s="9"/>
      <c r="Q15" s="9"/>
      <c r="Y15">
        <v>63</v>
      </c>
      <c r="Z15">
        <v>13</v>
      </c>
      <c r="AA15">
        <v>17</v>
      </c>
      <c r="AB15">
        <v>17.5</v>
      </c>
      <c r="AC15">
        <v>20.5</v>
      </c>
      <c r="AD15">
        <v>22.5</v>
      </c>
      <c r="AE15">
        <v>25.5</v>
      </c>
      <c r="AF15">
        <v>28</v>
      </c>
      <c r="AG15">
        <v>30</v>
      </c>
      <c r="AH15">
        <v>33</v>
      </c>
      <c r="AJ15">
        <v>34</v>
      </c>
      <c r="AK15">
        <v>35</v>
      </c>
      <c r="AP15">
        <v>36</v>
      </c>
    </row>
    <row r="16" spans="1:42" x14ac:dyDescent="0.25">
      <c r="A16">
        <v>22</v>
      </c>
      <c r="B16">
        <v>33</v>
      </c>
      <c r="C16">
        <v>39</v>
      </c>
      <c r="D16">
        <v>63</v>
      </c>
      <c r="E16">
        <v>110</v>
      </c>
      <c r="G16">
        <v>22</v>
      </c>
      <c r="H16">
        <v>38</v>
      </c>
      <c r="I16">
        <v>47</v>
      </c>
      <c r="J16">
        <v>80</v>
      </c>
      <c r="K16">
        <v>110</v>
      </c>
      <c r="M16" s="17"/>
      <c r="N16" s="17"/>
      <c r="O16" s="17"/>
      <c r="P16" s="17"/>
      <c r="Q16" s="17"/>
      <c r="Y16">
        <v>64</v>
      </c>
      <c r="Z16">
        <v>13</v>
      </c>
      <c r="AA16">
        <v>17</v>
      </c>
      <c r="AB16">
        <v>17.5</v>
      </c>
      <c r="AC16">
        <v>20.5</v>
      </c>
      <c r="AD16">
        <v>22.5</v>
      </c>
      <c r="AE16">
        <v>25.5</v>
      </c>
      <c r="AF16">
        <v>28</v>
      </c>
      <c r="AG16">
        <v>30</v>
      </c>
      <c r="AH16">
        <v>33</v>
      </c>
      <c r="AJ16">
        <v>34</v>
      </c>
      <c r="AK16">
        <v>35</v>
      </c>
      <c r="AP16">
        <v>36</v>
      </c>
    </row>
    <row r="17" spans="1:42" x14ac:dyDescent="0.25">
      <c r="A17">
        <v>23</v>
      </c>
      <c r="B17">
        <v>33</v>
      </c>
      <c r="C17">
        <v>39</v>
      </c>
      <c r="D17">
        <v>63</v>
      </c>
      <c r="E17">
        <v>110</v>
      </c>
      <c r="G17">
        <v>23</v>
      </c>
      <c r="H17">
        <v>38</v>
      </c>
      <c r="I17">
        <v>47</v>
      </c>
      <c r="J17">
        <v>80</v>
      </c>
      <c r="K17">
        <v>110</v>
      </c>
      <c r="M17" s="9"/>
      <c r="N17" s="9"/>
      <c r="O17" s="9"/>
      <c r="P17" s="9"/>
      <c r="Q17" s="9"/>
      <c r="Y17">
        <v>65</v>
      </c>
      <c r="Z17">
        <v>13</v>
      </c>
      <c r="AA17">
        <v>17</v>
      </c>
      <c r="AB17">
        <v>17.5</v>
      </c>
      <c r="AC17">
        <v>20.5</v>
      </c>
      <c r="AD17">
        <v>22.5</v>
      </c>
      <c r="AE17">
        <v>25.5</v>
      </c>
      <c r="AF17">
        <v>28</v>
      </c>
      <c r="AG17">
        <v>30</v>
      </c>
      <c r="AH17">
        <v>33</v>
      </c>
      <c r="AJ17">
        <v>34</v>
      </c>
      <c r="AK17">
        <v>35</v>
      </c>
      <c r="AP17">
        <v>36</v>
      </c>
    </row>
    <row r="18" spans="1:42" x14ac:dyDescent="0.25">
      <c r="A18">
        <v>24</v>
      </c>
      <c r="B18">
        <v>33</v>
      </c>
      <c r="C18">
        <v>39</v>
      </c>
      <c r="D18">
        <v>63</v>
      </c>
      <c r="E18">
        <v>110</v>
      </c>
      <c r="G18">
        <v>24</v>
      </c>
      <c r="H18">
        <v>38</v>
      </c>
      <c r="I18">
        <v>47</v>
      </c>
      <c r="J18">
        <v>80</v>
      </c>
      <c r="K18">
        <v>110</v>
      </c>
      <c r="M18" s="17"/>
      <c r="N18" s="17"/>
      <c r="O18" s="17"/>
      <c r="P18" s="17"/>
      <c r="Q18" s="17"/>
      <c r="Y18">
        <v>66</v>
      </c>
      <c r="Z18">
        <v>12</v>
      </c>
      <c r="AA18">
        <v>14</v>
      </c>
      <c r="AB18">
        <v>15</v>
      </c>
      <c r="AC18">
        <v>21</v>
      </c>
      <c r="AD18">
        <v>22.5</v>
      </c>
      <c r="AE18">
        <v>25.5</v>
      </c>
      <c r="AF18">
        <v>28.5</v>
      </c>
      <c r="AG18">
        <v>30</v>
      </c>
      <c r="AH18">
        <v>32</v>
      </c>
      <c r="AI18">
        <v>33</v>
      </c>
      <c r="AJ18">
        <v>34</v>
      </c>
      <c r="AK18">
        <v>35</v>
      </c>
      <c r="AP18">
        <v>36</v>
      </c>
    </row>
    <row r="19" spans="1:42" x14ac:dyDescent="0.25">
      <c r="A19">
        <v>25</v>
      </c>
      <c r="B19">
        <v>36</v>
      </c>
      <c r="C19">
        <v>40</v>
      </c>
      <c r="D19">
        <v>58</v>
      </c>
      <c r="E19">
        <v>110</v>
      </c>
      <c r="G19">
        <v>25</v>
      </c>
      <c r="H19">
        <v>40</v>
      </c>
      <c r="I19">
        <v>46</v>
      </c>
      <c r="J19">
        <v>68</v>
      </c>
      <c r="K19">
        <v>110</v>
      </c>
      <c r="M19" s="9"/>
      <c r="N19" s="9"/>
      <c r="O19" s="9"/>
      <c r="P19" s="9"/>
      <c r="Q19" s="9"/>
      <c r="Y19">
        <v>67</v>
      </c>
      <c r="Z19">
        <v>12</v>
      </c>
      <c r="AA19">
        <v>14</v>
      </c>
      <c r="AB19">
        <v>15</v>
      </c>
      <c r="AC19">
        <v>21</v>
      </c>
      <c r="AD19">
        <v>22.5</v>
      </c>
      <c r="AE19">
        <v>25.5</v>
      </c>
      <c r="AF19">
        <v>28.5</v>
      </c>
      <c r="AG19">
        <v>30</v>
      </c>
      <c r="AH19">
        <v>32</v>
      </c>
      <c r="AI19">
        <v>33</v>
      </c>
      <c r="AJ19">
        <v>34</v>
      </c>
      <c r="AK19">
        <v>35</v>
      </c>
      <c r="AP19">
        <v>36</v>
      </c>
    </row>
    <row r="20" spans="1:42" x14ac:dyDescent="0.25">
      <c r="A20">
        <v>26</v>
      </c>
      <c r="B20">
        <v>36</v>
      </c>
      <c r="C20">
        <v>40</v>
      </c>
      <c r="D20">
        <v>58</v>
      </c>
      <c r="E20">
        <v>110</v>
      </c>
      <c r="G20">
        <v>26</v>
      </c>
      <c r="H20">
        <v>40</v>
      </c>
      <c r="I20">
        <v>46</v>
      </c>
      <c r="J20">
        <v>68</v>
      </c>
      <c r="K20">
        <v>110</v>
      </c>
      <c r="Y20">
        <v>68</v>
      </c>
      <c r="Z20">
        <v>12</v>
      </c>
      <c r="AA20">
        <v>14</v>
      </c>
      <c r="AB20">
        <v>15</v>
      </c>
      <c r="AC20">
        <v>21</v>
      </c>
      <c r="AD20">
        <v>22.5</v>
      </c>
      <c r="AE20">
        <v>25.5</v>
      </c>
      <c r="AF20">
        <v>28.5</v>
      </c>
      <c r="AG20">
        <v>30</v>
      </c>
      <c r="AH20">
        <v>32</v>
      </c>
      <c r="AI20">
        <v>33</v>
      </c>
      <c r="AJ20">
        <v>34</v>
      </c>
      <c r="AK20">
        <v>35</v>
      </c>
      <c r="AP20">
        <v>36</v>
      </c>
    </row>
    <row r="21" spans="1:42" x14ac:dyDescent="0.25">
      <c r="A21">
        <v>27</v>
      </c>
      <c r="B21">
        <v>36</v>
      </c>
      <c r="C21">
        <v>40</v>
      </c>
      <c r="D21">
        <v>58</v>
      </c>
      <c r="E21">
        <v>110</v>
      </c>
      <c r="G21">
        <v>27</v>
      </c>
      <c r="H21">
        <v>40</v>
      </c>
      <c r="I21">
        <v>46</v>
      </c>
      <c r="J21">
        <v>68</v>
      </c>
      <c r="K21">
        <v>110</v>
      </c>
      <c r="Y21">
        <v>69</v>
      </c>
      <c r="Z21">
        <v>12</v>
      </c>
      <c r="AA21">
        <v>14</v>
      </c>
      <c r="AB21">
        <v>15</v>
      </c>
      <c r="AC21">
        <v>21</v>
      </c>
      <c r="AD21">
        <v>22</v>
      </c>
      <c r="AE21">
        <v>25</v>
      </c>
      <c r="AF21">
        <v>28</v>
      </c>
      <c r="AG21">
        <v>30</v>
      </c>
      <c r="AH21">
        <v>32</v>
      </c>
      <c r="AI21">
        <v>34</v>
      </c>
      <c r="AK21">
        <v>35</v>
      </c>
      <c r="AP21">
        <v>36</v>
      </c>
    </row>
    <row r="22" spans="1:42" x14ac:dyDescent="0.25">
      <c r="A22">
        <v>28</v>
      </c>
      <c r="B22">
        <v>36</v>
      </c>
      <c r="C22">
        <v>40</v>
      </c>
      <c r="D22">
        <v>58</v>
      </c>
      <c r="E22">
        <v>110</v>
      </c>
      <c r="G22">
        <v>28</v>
      </c>
      <c r="H22">
        <v>40</v>
      </c>
      <c r="I22">
        <v>46</v>
      </c>
      <c r="J22">
        <v>68</v>
      </c>
      <c r="K22">
        <v>110</v>
      </c>
      <c r="Y22">
        <v>70</v>
      </c>
      <c r="Z22">
        <v>12</v>
      </c>
      <c r="AA22">
        <v>14</v>
      </c>
      <c r="AB22">
        <v>15</v>
      </c>
      <c r="AC22">
        <v>21</v>
      </c>
      <c r="AD22">
        <v>22</v>
      </c>
      <c r="AE22">
        <v>25</v>
      </c>
      <c r="AF22">
        <v>28</v>
      </c>
      <c r="AG22">
        <v>30</v>
      </c>
      <c r="AH22">
        <v>32</v>
      </c>
      <c r="AI22">
        <v>34</v>
      </c>
      <c r="AK22">
        <v>35</v>
      </c>
      <c r="AP22">
        <v>36</v>
      </c>
    </row>
    <row r="23" spans="1:42" x14ac:dyDescent="0.25">
      <c r="A23">
        <v>29</v>
      </c>
      <c r="B23">
        <v>36</v>
      </c>
      <c r="C23">
        <v>40</v>
      </c>
      <c r="D23">
        <v>58</v>
      </c>
      <c r="E23">
        <v>110</v>
      </c>
      <c r="G23">
        <v>29</v>
      </c>
      <c r="H23">
        <v>40</v>
      </c>
      <c r="I23">
        <v>46</v>
      </c>
      <c r="J23">
        <v>68</v>
      </c>
      <c r="K23">
        <v>110</v>
      </c>
      <c r="Y23">
        <v>71</v>
      </c>
      <c r="Z23">
        <v>12</v>
      </c>
      <c r="AA23">
        <v>14</v>
      </c>
      <c r="AB23">
        <v>15</v>
      </c>
      <c r="AC23">
        <v>21</v>
      </c>
      <c r="AD23">
        <v>22</v>
      </c>
      <c r="AE23">
        <v>25</v>
      </c>
      <c r="AF23">
        <v>28</v>
      </c>
      <c r="AG23">
        <v>30</v>
      </c>
      <c r="AH23">
        <v>32</v>
      </c>
      <c r="AI23">
        <v>34</v>
      </c>
      <c r="AK23">
        <v>35</v>
      </c>
      <c r="AP23">
        <v>36</v>
      </c>
    </row>
    <row r="24" spans="1:42" x14ac:dyDescent="0.25">
      <c r="A24">
        <v>30</v>
      </c>
      <c r="B24">
        <v>36</v>
      </c>
      <c r="C24">
        <v>40</v>
      </c>
      <c r="D24">
        <v>58</v>
      </c>
      <c r="E24">
        <v>110</v>
      </c>
      <c r="G24">
        <v>30</v>
      </c>
      <c r="H24">
        <v>40</v>
      </c>
      <c r="I24">
        <v>46</v>
      </c>
      <c r="J24">
        <v>68</v>
      </c>
      <c r="K24">
        <v>110</v>
      </c>
      <c r="Y24">
        <v>72</v>
      </c>
      <c r="Z24">
        <v>12</v>
      </c>
      <c r="AA24">
        <v>13</v>
      </c>
      <c r="AB24">
        <v>14</v>
      </c>
      <c r="AC24">
        <v>18.5</v>
      </c>
      <c r="AD24">
        <v>22</v>
      </c>
      <c r="AE24">
        <v>24.5</v>
      </c>
      <c r="AF24">
        <v>27.5</v>
      </c>
      <c r="AG24">
        <v>30</v>
      </c>
      <c r="AH24">
        <v>32</v>
      </c>
      <c r="AI24">
        <v>34</v>
      </c>
      <c r="AJ24">
        <v>35</v>
      </c>
      <c r="AP24">
        <v>36</v>
      </c>
    </row>
    <row r="25" spans="1:42" x14ac:dyDescent="0.25">
      <c r="A25">
        <v>31</v>
      </c>
      <c r="B25">
        <v>36</v>
      </c>
      <c r="C25">
        <v>40</v>
      </c>
      <c r="D25">
        <v>58</v>
      </c>
      <c r="E25">
        <v>110</v>
      </c>
      <c r="G25">
        <v>31</v>
      </c>
      <c r="H25">
        <v>40</v>
      </c>
      <c r="I25">
        <v>46</v>
      </c>
      <c r="J25">
        <v>68</v>
      </c>
      <c r="K25">
        <v>110</v>
      </c>
      <c r="Y25">
        <v>73</v>
      </c>
      <c r="Z25">
        <v>12</v>
      </c>
      <c r="AA25">
        <v>13</v>
      </c>
      <c r="AB25">
        <v>14</v>
      </c>
      <c r="AC25">
        <v>18.5</v>
      </c>
      <c r="AD25">
        <v>22</v>
      </c>
      <c r="AE25">
        <v>24.5</v>
      </c>
      <c r="AF25">
        <v>27.5</v>
      </c>
      <c r="AG25">
        <v>30</v>
      </c>
      <c r="AH25">
        <v>32</v>
      </c>
      <c r="AI25">
        <v>34</v>
      </c>
      <c r="AJ25">
        <v>35</v>
      </c>
      <c r="AP25">
        <v>36</v>
      </c>
    </row>
    <row r="26" spans="1:42" x14ac:dyDescent="0.25">
      <c r="A26">
        <v>32</v>
      </c>
      <c r="B26">
        <v>36</v>
      </c>
      <c r="C26">
        <v>40</v>
      </c>
      <c r="D26">
        <v>58</v>
      </c>
      <c r="E26">
        <v>110</v>
      </c>
      <c r="G26">
        <v>32</v>
      </c>
      <c r="H26">
        <v>40</v>
      </c>
      <c r="I26">
        <v>46</v>
      </c>
      <c r="J26">
        <v>68</v>
      </c>
      <c r="K26">
        <v>110</v>
      </c>
      <c r="Y26">
        <v>74</v>
      </c>
      <c r="Z26">
        <v>12</v>
      </c>
      <c r="AA26">
        <v>13</v>
      </c>
      <c r="AB26">
        <v>14</v>
      </c>
      <c r="AC26">
        <v>18.5</v>
      </c>
      <c r="AD26">
        <v>22</v>
      </c>
      <c r="AE26">
        <v>24.5</v>
      </c>
      <c r="AF26">
        <v>27.5</v>
      </c>
      <c r="AG26">
        <v>30</v>
      </c>
      <c r="AH26">
        <v>32</v>
      </c>
      <c r="AI26">
        <v>34</v>
      </c>
      <c r="AJ26">
        <v>35</v>
      </c>
      <c r="AP26">
        <v>36</v>
      </c>
    </row>
    <row r="27" spans="1:42" x14ac:dyDescent="0.25">
      <c r="A27">
        <v>33</v>
      </c>
      <c r="B27">
        <v>36</v>
      </c>
      <c r="C27">
        <v>40</v>
      </c>
      <c r="D27">
        <v>58</v>
      </c>
      <c r="E27">
        <v>110</v>
      </c>
      <c r="G27">
        <v>33</v>
      </c>
      <c r="H27">
        <v>40</v>
      </c>
      <c r="I27">
        <v>46</v>
      </c>
      <c r="J27">
        <v>68</v>
      </c>
      <c r="K27">
        <v>110</v>
      </c>
      <c r="Y27">
        <v>75</v>
      </c>
      <c r="Z27">
        <v>10.5</v>
      </c>
      <c r="AA27">
        <v>11</v>
      </c>
      <c r="AB27">
        <v>12</v>
      </c>
      <c r="AC27">
        <v>15</v>
      </c>
      <c r="AD27">
        <v>21</v>
      </c>
      <c r="AE27">
        <v>22</v>
      </c>
      <c r="AF27">
        <v>25.5</v>
      </c>
      <c r="AG27">
        <v>29</v>
      </c>
      <c r="AH27">
        <v>32</v>
      </c>
      <c r="AI27">
        <v>33</v>
      </c>
      <c r="AJ27">
        <v>34</v>
      </c>
      <c r="AK27">
        <v>35</v>
      </c>
      <c r="AO27">
        <v>35.5</v>
      </c>
      <c r="AP27">
        <v>36</v>
      </c>
    </row>
    <row r="28" spans="1:42" x14ac:dyDescent="0.25">
      <c r="A28">
        <v>34</v>
      </c>
      <c r="B28">
        <v>36</v>
      </c>
      <c r="C28">
        <v>40</v>
      </c>
      <c r="D28">
        <v>58</v>
      </c>
      <c r="E28">
        <v>110</v>
      </c>
      <c r="G28">
        <v>34</v>
      </c>
      <c r="H28">
        <v>40</v>
      </c>
      <c r="I28">
        <v>46</v>
      </c>
      <c r="J28">
        <v>68</v>
      </c>
      <c r="K28">
        <v>110</v>
      </c>
      <c r="Y28">
        <v>76</v>
      </c>
      <c r="Z28">
        <v>10.5</v>
      </c>
      <c r="AA28">
        <v>11</v>
      </c>
      <c r="AB28">
        <v>12</v>
      </c>
      <c r="AC28">
        <v>15</v>
      </c>
      <c r="AD28">
        <v>21</v>
      </c>
      <c r="AE28">
        <v>22</v>
      </c>
      <c r="AF28">
        <v>25.5</v>
      </c>
      <c r="AG28">
        <v>29</v>
      </c>
      <c r="AH28">
        <v>32</v>
      </c>
      <c r="AI28">
        <v>33</v>
      </c>
      <c r="AJ28">
        <v>34</v>
      </c>
      <c r="AK28">
        <v>35</v>
      </c>
      <c r="AO28">
        <v>35.5</v>
      </c>
      <c r="AP28">
        <v>36</v>
      </c>
    </row>
    <row r="29" spans="1:42" x14ac:dyDescent="0.25">
      <c r="A29">
        <v>35</v>
      </c>
      <c r="B29">
        <v>25</v>
      </c>
      <c r="C29">
        <v>32</v>
      </c>
      <c r="D29">
        <v>57</v>
      </c>
      <c r="E29">
        <v>110</v>
      </c>
      <c r="G29">
        <v>35</v>
      </c>
      <c r="H29">
        <v>29</v>
      </c>
      <c r="I29">
        <v>36</v>
      </c>
      <c r="J29">
        <v>66</v>
      </c>
      <c r="K29">
        <v>110</v>
      </c>
      <c r="Y29">
        <v>77</v>
      </c>
      <c r="Z29">
        <v>10.5</v>
      </c>
      <c r="AA29">
        <v>11</v>
      </c>
      <c r="AB29">
        <v>12</v>
      </c>
      <c r="AC29">
        <v>15</v>
      </c>
      <c r="AD29">
        <v>21</v>
      </c>
      <c r="AE29">
        <v>22</v>
      </c>
      <c r="AF29">
        <v>25.5</v>
      </c>
      <c r="AG29">
        <v>29</v>
      </c>
      <c r="AH29">
        <v>32</v>
      </c>
      <c r="AI29">
        <v>33</v>
      </c>
      <c r="AJ29">
        <v>34</v>
      </c>
      <c r="AK29">
        <v>35</v>
      </c>
      <c r="AO29">
        <v>35.5</v>
      </c>
      <c r="AP29">
        <v>36</v>
      </c>
    </row>
    <row r="30" spans="1:42" x14ac:dyDescent="0.25">
      <c r="A30">
        <v>36</v>
      </c>
      <c r="B30">
        <v>25</v>
      </c>
      <c r="C30">
        <v>32</v>
      </c>
      <c r="D30">
        <v>57</v>
      </c>
      <c r="E30">
        <v>110</v>
      </c>
      <c r="G30">
        <v>36</v>
      </c>
      <c r="H30">
        <v>29</v>
      </c>
      <c r="I30">
        <v>36</v>
      </c>
      <c r="J30">
        <v>66</v>
      </c>
      <c r="K30">
        <v>110</v>
      </c>
      <c r="Y30">
        <v>78</v>
      </c>
      <c r="Z30">
        <v>10.5</v>
      </c>
      <c r="AA30">
        <v>11</v>
      </c>
      <c r="AC30">
        <v>16</v>
      </c>
      <c r="AD30">
        <v>21</v>
      </c>
      <c r="AE30">
        <v>22</v>
      </c>
      <c r="AF30">
        <v>25.5</v>
      </c>
      <c r="AG30">
        <v>29</v>
      </c>
      <c r="AH30">
        <v>31</v>
      </c>
      <c r="AI30">
        <v>33</v>
      </c>
      <c r="AJ30">
        <v>34</v>
      </c>
      <c r="AK30">
        <v>35</v>
      </c>
      <c r="AP30">
        <v>36</v>
      </c>
    </row>
    <row r="31" spans="1:42" x14ac:dyDescent="0.25">
      <c r="A31">
        <v>37</v>
      </c>
      <c r="B31">
        <v>25</v>
      </c>
      <c r="C31">
        <v>32</v>
      </c>
      <c r="D31">
        <v>57</v>
      </c>
      <c r="E31">
        <v>110</v>
      </c>
      <c r="G31">
        <v>37</v>
      </c>
      <c r="H31">
        <v>29</v>
      </c>
      <c r="I31">
        <v>36</v>
      </c>
      <c r="J31">
        <v>66</v>
      </c>
      <c r="K31">
        <v>110</v>
      </c>
      <c r="Y31">
        <v>79</v>
      </c>
      <c r="Z31">
        <v>10.5</v>
      </c>
      <c r="AA31">
        <v>11</v>
      </c>
      <c r="AC31">
        <v>16</v>
      </c>
      <c r="AD31">
        <v>21</v>
      </c>
      <c r="AE31">
        <v>22</v>
      </c>
      <c r="AF31">
        <v>25.5</v>
      </c>
      <c r="AG31">
        <v>29</v>
      </c>
      <c r="AH31">
        <v>31</v>
      </c>
      <c r="AI31">
        <v>33</v>
      </c>
      <c r="AJ31">
        <v>34</v>
      </c>
      <c r="AK31">
        <v>35</v>
      </c>
      <c r="AP31">
        <v>36</v>
      </c>
    </row>
    <row r="32" spans="1:42" x14ac:dyDescent="0.25">
      <c r="A32">
        <v>38</v>
      </c>
      <c r="B32">
        <v>25</v>
      </c>
      <c r="C32">
        <v>32</v>
      </c>
      <c r="D32">
        <v>57</v>
      </c>
      <c r="E32">
        <v>110</v>
      </c>
      <c r="G32">
        <v>38</v>
      </c>
      <c r="H32">
        <v>29</v>
      </c>
      <c r="I32">
        <v>36</v>
      </c>
      <c r="J32">
        <v>66</v>
      </c>
      <c r="K32">
        <v>110</v>
      </c>
      <c r="Y32">
        <v>80</v>
      </c>
      <c r="Z32">
        <v>10.5</v>
      </c>
      <c r="AA32">
        <v>11</v>
      </c>
      <c r="AC32">
        <v>16</v>
      </c>
      <c r="AD32">
        <v>21</v>
      </c>
      <c r="AE32">
        <v>22</v>
      </c>
      <c r="AF32">
        <v>25.5</v>
      </c>
      <c r="AG32">
        <v>29</v>
      </c>
      <c r="AH32">
        <v>31</v>
      </c>
      <c r="AI32">
        <v>33</v>
      </c>
      <c r="AJ32">
        <v>34</v>
      </c>
      <c r="AK32">
        <v>35</v>
      </c>
      <c r="AP32">
        <v>36</v>
      </c>
    </row>
    <row r="33" spans="1:42" x14ac:dyDescent="0.25">
      <c r="A33">
        <v>39</v>
      </c>
      <c r="B33">
        <v>25</v>
      </c>
      <c r="C33">
        <v>32</v>
      </c>
      <c r="D33">
        <v>57</v>
      </c>
      <c r="E33">
        <v>110</v>
      </c>
      <c r="G33">
        <v>39</v>
      </c>
      <c r="H33">
        <v>29</v>
      </c>
      <c r="I33">
        <v>36</v>
      </c>
      <c r="J33">
        <v>66</v>
      </c>
      <c r="K33">
        <v>110</v>
      </c>
      <c r="Y33">
        <v>81</v>
      </c>
      <c r="Z33">
        <v>9.5</v>
      </c>
      <c r="AB33">
        <v>10</v>
      </c>
      <c r="AC33">
        <v>11</v>
      </c>
      <c r="AD33">
        <v>13</v>
      </c>
      <c r="AE33">
        <v>21</v>
      </c>
      <c r="AF33">
        <v>21.5</v>
      </c>
      <c r="AG33">
        <v>29</v>
      </c>
      <c r="AH33">
        <v>30</v>
      </c>
      <c r="AI33">
        <v>33</v>
      </c>
      <c r="AK33">
        <v>35</v>
      </c>
      <c r="AP33">
        <v>36</v>
      </c>
    </row>
    <row r="34" spans="1:42" x14ac:dyDescent="0.25">
      <c r="A34">
        <v>40</v>
      </c>
      <c r="B34">
        <v>25</v>
      </c>
      <c r="C34">
        <v>32</v>
      </c>
      <c r="D34">
        <v>57</v>
      </c>
      <c r="E34">
        <v>110</v>
      </c>
      <c r="G34">
        <v>40</v>
      </c>
      <c r="H34">
        <v>29</v>
      </c>
      <c r="I34">
        <v>36</v>
      </c>
      <c r="J34">
        <v>66</v>
      </c>
      <c r="K34">
        <v>110</v>
      </c>
      <c r="Y34">
        <v>82</v>
      </c>
      <c r="Z34">
        <v>9.5</v>
      </c>
      <c r="AB34">
        <v>10</v>
      </c>
      <c r="AC34">
        <v>11</v>
      </c>
      <c r="AD34">
        <v>13</v>
      </c>
      <c r="AE34">
        <v>21</v>
      </c>
      <c r="AF34">
        <v>21.5</v>
      </c>
      <c r="AG34">
        <v>29</v>
      </c>
      <c r="AH34">
        <v>30</v>
      </c>
      <c r="AI34">
        <v>33</v>
      </c>
      <c r="AK34">
        <v>35</v>
      </c>
      <c r="AP34">
        <v>36</v>
      </c>
    </row>
    <row r="35" spans="1:42" x14ac:dyDescent="0.25">
      <c r="A35">
        <v>41</v>
      </c>
      <c r="B35">
        <v>25</v>
      </c>
      <c r="C35">
        <v>32</v>
      </c>
      <c r="D35">
        <v>57</v>
      </c>
      <c r="E35">
        <v>110</v>
      </c>
      <c r="G35">
        <v>41</v>
      </c>
      <c r="H35">
        <v>29</v>
      </c>
      <c r="I35">
        <v>36</v>
      </c>
      <c r="J35">
        <v>66</v>
      </c>
      <c r="K35">
        <v>110</v>
      </c>
      <c r="Y35">
        <v>83</v>
      </c>
      <c r="Z35">
        <v>9.5</v>
      </c>
      <c r="AB35">
        <v>10</v>
      </c>
      <c r="AC35">
        <v>11</v>
      </c>
      <c r="AD35">
        <v>13</v>
      </c>
      <c r="AE35">
        <v>21</v>
      </c>
      <c r="AF35">
        <v>21.5</v>
      </c>
      <c r="AG35">
        <v>29</v>
      </c>
      <c r="AH35">
        <v>30</v>
      </c>
      <c r="AI35">
        <v>33</v>
      </c>
      <c r="AK35">
        <v>35</v>
      </c>
      <c r="AP35">
        <v>36</v>
      </c>
    </row>
    <row r="36" spans="1:42" x14ac:dyDescent="0.25">
      <c r="A36">
        <v>42</v>
      </c>
      <c r="B36">
        <v>25</v>
      </c>
      <c r="C36">
        <v>32</v>
      </c>
      <c r="D36">
        <v>57</v>
      </c>
      <c r="E36">
        <v>110</v>
      </c>
      <c r="G36">
        <v>42</v>
      </c>
      <c r="H36">
        <v>29</v>
      </c>
      <c r="I36">
        <v>36</v>
      </c>
      <c r="J36">
        <v>66</v>
      </c>
      <c r="K36">
        <v>110</v>
      </c>
      <c r="Y36">
        <v>84</v>
      </c>
      <c r="Z36">
        <v>9.5</v>
      </c>
      <c r="AB36">
        <v>10</v>
      </c>
      <c r="AC36">
        <v>11</v>
      </c>
      <c r="AD36">
        <v>13</v>
      </c>
      <c r="AE36">
        <v>21</v>
      </c>
      <c r="AF36">
        <v>21.5</v>
      </c>
      <c r="AG36">
        <v>29</v>
      </c>
      <c r="AH36">
        <v>30</v>
      </c>
      <c r="AI36">
        <v>33</v>
      </c>
      <c r="AK36">
        <v>35</v>
      </c>
      <c r="AP36">
        <v>36</v>
      </c>
    </row>
    <row r="37" spans="1:42" x14ac:dyDescent="0.25">
      <c r="A37">
        <v>43</v>
      </c>
      <c r="B37">
        <v>25</v>
      </c>
      <c r="C37">
        <v>32</v>
      </c>
      <c r="D37">
        <v>57</v>
      </c>
      <c r="E37">
        <v>110</v>
      </c>
      <c r="G37">
        <v>43</v>
      </c>
      <c r="H37">
        <v>29</v>
      </c>
      <c r="I37">
        <v>36</v>
      </c>
      <c r="J37">
        <v>66</v>
      </c>
      <c r="K37">
        <v>110</v>
      </c>
      <c r="Y37">
        <v>85</v>
      </c>
      <c r="Z37">
        <v>9.5</v>
      </c>
      <c r="AB37">
        <v>10</v>
      </c>
      <c r="AC37">
        <v>11</v>
      </c>
      <c r="AD37">
        <v>13</v>
      </c>
      <c r="AE37">
        <v>21</v>
      </c>
      <c r="AF37">
        <v>21.5</v>
      </c>
      <c r="AG37">
        <v>29</v>
      </c>
      <c r="AH37">
        <v>30</v>
      </c>
      <c r="AI37">
        <v>33</v>
      </c>
      <c r="AK37">
        <v>35</v>
      </c>
      <c r="AP37">
        <v>36</v>
      </c>
    </row>
    <row r="38" spans="1:42" x14ac:dyDescent="0.25">
      <c r="A38">
        <v>44</v>
      </c>
      <c r="B38">
        <v>25</v>
      </c>
      <c r="C38">
        <v>32</v>
      </c>
      <c r="D38">
        <v>57</v>
      </c>
      <c r="E38">
        <v>110</v>
      </c>
      <c r="G38">
        <v>44</v>
      </c>
      <c r="H38">
        <v>29</v>
      </c>
      <c r="I38">
        <v>36</v>
      </c>
      <c r="J38">
        <v>66</v>
      </c>
      <c r="K38">
        <v>110</v>
      </c>
      <c r="Y38">
        <v>86</v>
      </c>
      <c r="Z38">
        <v>9.5</v>
      </c>
      <c r="AB38">
        <v>10</v>
      </c>
      <c r="AC38">
        <v>11</v>
      </c>
      <c r="AD38">
        <v>13</v>
      </c>
      <c r="AE38">
        <v>21</v>
      </c>
      <c r="AF38">
        <v>21.5</v>
      </c>
      <c r="AG38">
        <v>29</v>
      </c>
      <c r="AH38">
        <v>30</v>
      </c>
      <c r="AI38">
        <v>33</v>
      </c>
      <c r="AK38">
        <v>35</v>
      </c>
      <c r="AP38">
        <v>36</v>
      </c>
    </row>
    <row r="39" spans="1:42" x14ac:dyDescent="0.25">
      <c r="A39">
        <v>45</v>
      </c>
      <c r="B39">
        <v>17</v>
      </c>
      <c r="C39">
        <v>24</v>
      </c>
      <c r="D39">
        <v>53</v>
      </c>
      <c r="E39">
        <v>110</v>
      </c>
      <c r="G39">
        <v>45</v>
      </c>
      <c r="H39">
        <v>24</v>
      </c>
      <c r="I39">
        <v>32</v>
      </c>
      <c r="J39">
        <v>61</v>
      </c>
      <c r="K39">
        <v>110</v>
      </c>
      <c r="Y39">
        <v>87</v>
      </c>
      <c r="Z39">
        <v>9.5</v>
      </c>
      <c r="AB39">
        <v>10</v>
      </c>
      <c r="AC39">
        <v>11</v>
      </c>
      <c r="AD39">
        <v>13</v>
      </c>
      <c r="AE39">
        <v>21</v>
      </c>
      <c r="AF39">
        <v>21.5</v>
      </c>
      <c r="AG39">
        <v>29</v>
      </c>
      <c r="AH39">
        <v>30</v>
      </c>
      <c r="AI39">
        <v>33</v>
      </c>
      <c r="AK39">
        <v>35</v>
      </c>
      <c r="AP39">
        <v>36</v>
      </c>
    </row>
    <row r="40" spans="1:42" x14ac:dyDescent="0.25">
      <c r="A40">
        <v>46</v>
      </c>
      <c r="B40">
        <v>17</v>
      </c>
      <c r="C40">
        <v>24</v>
      </c>
      <c r="D40">
        <v>53</v>
      </c>
      <c r="E40">
        <v>110</v>
      </c>
      <c r="G40">
        <v>46</v>
      </c>
      <c r="H40">
        <v>24</v>
      </c>
      <c r="I40">
        <v>32</v>
      </c>
      <c r="J40">
        <v>61</v>
      </c>
      <c r="K40">
        <v>110</v>
      </c>
      <c r="Y40">
        <v>88</v>
      </c>
      <c r="Z40">
        <v>9.5</v>
      </c>
      <c r="AB40">
        <v>10</v>
      </c>
      <c r="AC40">
        <v>11</v>
      </c>
      <c r="AD40">
        <v>13</v>
      </c>
      <c r="AE40">
        <v>21</v>
      </c>
      <c r="AF40">
        <v>21.5</v>
      </c>
      <c r="AG40">
        <v>29</v>
      </c>
      <c r="AH40">
        <v>30</v>
      </c>
      <c r="AI40">
        <v>33</v>
      </c>
      <c r="AK40">
        <v>35</v>
      </c>
      <c r="AP40">
        <v>36</v>
      </c>
    </row>
    <row r="41" spans="1:42" x14ac:dyDescent="0.25">
      <c r="A41">
        <v>47</v>
      </c>
      <c r="B41">
        <v>17</v>
      </c>
      <c r="C41">
        <v>24</v>
      </c>
      <c r="D41">
        <v>53</v>
      </c>
      <c r="E41">
        <v>110</v>
      </c>
      <c r="G41">
        <v>47</v>
      </c>
      <c r="H41">
        <v>24</v>
      </c>
      <c r="I41">
        <v>32</v>
      </c>
      <c r="J41">
        <v>61</v>
      </c>
      <c r="K41">
        <v>110</v>
      </c>
      <c r="Y41">
        <v>89</v>
      </c>
      <c r="Z41">
        <v>9.5</v>
      </c>
      <c r="AB41">
        <v>10</v>
      </c>
      <c r="AC41">
        <v>11</v>
      </c>
      <c r="AD41">
        <v>13</v>
      </c>
      <c r="AE41">
        <v>21</v>
      </c>
      <c r="AF41">
        <v>21.5</v>
      </c>
      <c r="AG41">
        <v>29</v>
      </c>
      <c r="AH41">
        <v>30</v>
      </c>
      <c r="AI41">
        <v>33</v>
      </c>
      <c r="AK41">
        <v>35</v>
      </c>
      <c r="AP41">
        <v>36</v>
      </c>
    </row>
    <row r="42" spans="1:42" x14ac:dyDescent="0.25">
      <c r="A42">
        <v>48</v>
      </c>
      <c r="B42">
        <v>17</v>
      </c>
      <c r="C42">
        <v>24</v>
      </c>
      <c r="D42">
        <v>53</v>
      </c>
      <c r="E42">
        <v>110</v>
      </c>
      <c r="G42">
        <v>48</v>
      </c>
      <c r="H42">
        <v>24</v>
      </c>
      <c r="I42">
        <v>32</v>
      </c>
      <c r="J42">
        <v>61</v>
      </c>
      <c r="K42">
        <v>110</v>
      </c>
      <c r="Y42">
        <v>90</v>
      </c>
      <c r="Z42">
        <v>9.5</v>
      </c>
      <c r="AB42">
        <v>10</v>
      </c>
      <c r="AC42">
        <v>11</v>
      </c>
      <c r="AD42">
        <v>13</v>
      </c>
      <c r="AE42">
        <v>21</v>
      </c>
      <c r="AF42">
        <v>21.5</v>
      </c>
      <c r="AG42">
        <v>29</v>
      </c>
      <c r="AH42">
        <v>30</v>
      </c>
      <c r="AI42">
        <v>33</v>
      </c>
      <c r="AK42">
        <v>35</v>
      </c>
      <c r="AP42">
        <v>36</v>
      </c>
    </row>
    <row r="43" spans="1:42" x14ac:dyDescent="0.25">
      <c r="A43">
        <v>49</v>
      </c>
      <c r="B43">
        <v>17</v>
      </c>
      <c r="C43">
        <v>24</v>
      </c>
      <c r="D43">
        <v>53</v>
      </c>
      <c r="E43">
        <v>110</v>
      </c>
      <c r="G43">
        <v>49</v>
      </c>
      <c r="H43">
        <v>24</v>
      </c>
      <c r="I43">
        <v>32</v>
      </c>
      <c r="J43">
        <v>61</v>
      </c>
      <c r="K43">
        <v>110</v>
      </c>
      <c r="Y43" s="29" t="s">
        <v>53</v>
      </c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</row>
    <row r="44" spans="1:42" x14ac:dyDescent="0.25">
      <c r="A44">
        <v>50</v>
      </c>
      <c r="B44">
        <v>17</v>
      </c>
      <c r="C44">
        <v>24</v>
      </c>
      <c r="D44">
        <v>53</v>
      </c>
      <c r="E44">
        <v>110</v>
      </c>
      <c r="G44">
        <v>50</v>
      </c>
      <c r="H44">
        <v>24</v>
      </c>
      <c r="I44">
        <v>32</v>
      </c>
      <c r="J44">
        <v>61</v>
      </c>
      <c r="K44">
        <v>110</v>
      </c>
    </row>
    <row r="45" spans="1:42" x14ac:dyDescent="0.25">
      <c r="A45">
        <v>51</v>
      </c>
      <c r="B45">
        <v>17</v>
      </c>
      <c r="C45">
        <v>24</v>
      </c>
      <c r="D45">
        <v>53</v>
      </c>
      <c r="E45">
        <v>110</v>
      </c>
      <c r="G45">
        <v>51</v>
      </c>
      <c r="H45">
        <v>24</v>
      </c>
      <c r="I45">
        <v>32</v>
      </c>
      <c r="J45">
        <v>61</v>
      </c>
      <c r="K45">
        <v>110</v>
      </c>
    </row>
    <row r="46" spans="1:42" x14ac:dyDescent="0.25">
      <c r="A46">
        <v>52</v>
      </c>
      <c r="B46">
        <v>17</v>
      </c>
      <c r="C46">
        <v>24</v>
      </c>
      <c r="D46">
        <v>53</v>
      </c>
      <c r="E46">
        <v>110</v>
      </c>
      <c r="G46">
        <v>52</v>
      </c>
      <c r="H46">
        <v>24</v>
      </c>
      <c r="I46">
        <v>32</v>
      </c>
      <c r="J46">
        <v>61</v>
      </c>
      <c r="K46">
        <v>110</v>
      </c>
    </row>
    <row r="47" spans="1:42" x14ac:dyDescent="0.25">
      <c r="A47">
        <v>53</v>
      </c>
      <c r="B47">
        <v>17</v>
      </c>
      <c r="C47">
        <v>24</v>
      </c>
      <c r="D47">
        <v>53</v>
      </c>
      <c r="E47">
        <v>110</v>
      </c>
      <c r="G47">
        <v>53</v>
      </c>
      <c r="H47">
        <v>24</v>
      </c>
      <c r="I47">
        <v>32</v>
      </c>
      <c r="J47">
        <v>61</v>
      </c>
      <c r="K47">
        <v>110</v>
      </c>
    </row>
    <row r="48" spans="1:42" x14ac:dyDescent="0.25">
      <c r="A48">
        <v>54</v>
      </c>
      <c r="B48">
        <v>17</v>
      </c>
      <c r="C48">
        <v>24</v>
      </c>
      <c r="D48">
        <v>53</v>
      </c>
      <c r="E48">
        <v>110</v>
      </c>
      <c r="G48">
        <v>54</v>
      </c>
      <c r="H48">
        <v>24</v>
      </c>
      <c r="I48">
        <v>32</v>
      </c>
      <c r="J48">
        <v>61</v>
      </c>
      <c r="K48">
        <v>110</v>
      </c>
    </row>
    <row r="49" spans="1:11" x14ac:dyDescent="0.25">
      <c r="A49">
        <v>55</v>
      </c>
      <c r="B49">
        <v>11</v>
      </c>
      <c r="C49">
        <v>17</v>
      </c>
      <c r="D49">
        <v>41</v>
      </c>
      <c r="E49">
        <v>110</v>
      </c>
      <c r="G49">
        <v>55</v>
      </c>
      <c r="H49">
        <v>17</v>
      </c>
      <c r="I49">
        <v>24</v>
      </c>
      <c r="J49">
        <v>51</v>
      </c>
      <c r="K49">
        <v>110</v>
      </c>
    </row>
    <row r="50" spans="1:11" x14ac:dyDescent="0.25">
      <c r="A50">
        <v>56</v>
      </c>
      <c r="B50">
        <v>11</v>
      </c>
      <c r="C50">
        <v>17</v>
      </c>
      <c r="D50">
        <v>41</v>
      </c>
      <c r="E50">
        <v>110</v>
      </c>
      <c r="G50">
        <v>56</v>
      </c>
      <c r="H50">
        <v>17</v>
      </c>
      <c r="I50">
        <v>24</v>
      </c>
      <c r="J50">
        <v>51</v>
      </c>
      <c r="K50">
        <v>110</v>
      </c>
    </row>
    <row r="51" spans="1:11" x14ac:dyDescent="0.25">
      <c r="A51">
        <v>57</v>
      </c>
      <c r="B51">
        <v>11</v>
      </c>
      <c r="C51">
        <v>17</v>
      </c>
      <c r="D51">
        <v>41</v>
      </c>
      <c r="E51">
        <v>110</v>
      </c>
      <c r="G51">
        <v>57</v>
      </c>
      <c r="H51">
        <v>17</v>
      </c>
      <c r="I51">
        <v>24</v>
      </c>
      <c r="J51">
        <v>51</v>
      </c>
      <c r="K51">
        <v>110</v>
      </c>
    </row>
    <row r="52" spans="1:11" x14ac:dyDescent="0.25">
      <c r="A52">
        <v>58</v>
      </c>
      <c r="B52">
        <v>11</v>
      </c>
      <c r="C52">
        <v>17</v>
      </c>
      <c r="D52">
        <v>41</v>
      </c>
      <c r="E52">
        <v>110</v>
      </c>
      <c r="G52">
        <v>58</v>
      </c>
      <c r="H52">
        <v>17</v>
      </c>
      <c r="I52">
        <v>24</v>
      </c>
      <c r="J52">
        <v>51</v>
      </c>
      <c r="K52">
        <v>110</v>
      </c>
    </row>
    <row r="53" spans="1:11" x14ac:dyDescent="0.25">
      <c r="A53">
        <v>59</v>
      </c>
      <c r="B53">
        <v>11</v>
      </c>
      <c r="C53">
        <v>17</v>
      </c>
      <c r="D53">
        <v>41</v>
      </c>
      <c r="E53">
        <v>110</v>
      </c>
      <c r="G53">
        <v>59</v>
      </c>
      <c r="H53">
        <v>17</v>
      </c>
      <c r="I53">
        <v>24</v>
      </c>
      <c r="J53">
        <v>51</v>
      </c>
      <c r="K53">
        <v>110</v>
      </c>
    </row>
    <row r="54" spans="1:11" x14ac:dyDescent="0.25">
      <c r="A54">
        <v>60</v>
      </c>
      <c r="B54">
        <v>11</v>
      </c>
      <c r="C54">
        <v>17</v>
      </c>
      <c r="D54">
        <v>41</v>
      </c>
      <c r="E54">
        <v>110</v>
      </c>
      <c r="G54">
        <v>60</v>
      </c>
      <c r="H54">
        <v>17</v>
      </c>
      <c r="I54">
        <v>24</v>
      </c>
      <c r="J54">
        <v>51</v>
      </c>
      <c r="K54">
        <v>110</v>
      </c>
    </row>
    <row r="55" spans="1:11" x14ac:dyDescent="0.25">
      <c r="A55">
        <v>61</v>
      </c>
      <c r="B55">
        <v>11</v>
      </c>
      <c r="C55">
        <v>17</v>
      </c>
      <c r="D55">
        <v>41</v>
      </c>
      <c r="E55">
        <v>110</v>
      </c>
      <c r="G55">
        <v>61</v>
      </c>
      <c r="H55">
        <v>17</v>
      </c>
      <c r="I55">
        <v>24</v>
      </c>
      <c r="J55">
        <v>51</v>
      </c>
      <c r="K55">
        <v>110</v>
      </c>
    </row>
    <row r="56" spans="1:11" x14ac:dyDescent="0.25">
      <c r="A56">
        <v>62</v>
      </c>
      <c r="B56">
        <v>11</v>
      </c>
      <c r="C56">
        <v>17</v>
      </c>
      <c r="D56">
        <v>41</v>
      </c>
      <c r="E56">
        <v>110</v>
      </c>
      <c r="G56">
        <v>62</v>
      </c>
      <c r="H56">
        <v>17</v>
      </c>
      <c r="I56">
        <v>24</v>
      </c>
      <c r="J56">
        <v>51</v>
      </c>
      <c r="K56">
        <v>110</v>
      </c>
    </row>
    <row r="57" spans="1:11" x14ac:dyDescent="0.25">
      <c r="A57">
        <v>63</v>
      </c>
      <c r="B57">
        <v>11</v>
      </c>
      <c r="C57">
        <v>17</v>
      </c>
      <c r="D57">
        <v>41</v>
      </c>
      <c r="E57">
        <v>110</v>
      </c>
      <c r="G57">
        <v>63</v>
      </c>
      <c r="H57">
        <v>17</v>
      </c>
      <c r="I57">
        <v>24</v>
      </c>
      <c r="J57">
        <v>51</v>
      </c>
      <c r="K57">
        <v>110</v>
      </c>
    </row>
    <row r="58" spans="1:11" x14ac:dyDescent="0.25">
      <c r="A58">
        <v>64</v>
      </c>
      <c r="B58">
        <v>11</v>
      </c>
      <c r="C58">
        <v>17</v>
      </c>
      <c r="D58">
        <v>41</v>
      </c>
      <c r="E58">
        <v>110</v>
      </c>
      <c r="G58">
        <v>64</v>
      </c>
      <c r="H58">
        <v>17</v>
      </c>
      <c r="I58">
        <v>24</v>
      </c>
      <c r="J58">
        <v>51</v>
      </c>
      <c r="K58">
        <v>110</v>
      </c>
    </row>
    <row r="59" spans="1:11" x14ac:dyDescent="0.25">
      <c r="A59">
        <v>65</v>
      </c>
      <c r="B59">
        <v>1</v>
      </c>
      <c r="C59">
        <v>10</v>
      </c>
      <c r="D59">
        <v>46</v>
      </c>
      <c r="E59">
        <v>110</v>
      </c>
      <c r="G59">
        <v>65</v>
      </c>
      <c r="H59">
        <v>6</v>
      </c>
      <c r="I59">
        <v>16</v>
      </c>
      <c r="J59">
        <v>55</v>
      </c>
      <c r="K59">
        <v>110</v>
      </c>
    </row>
    <row r="60" spans="1:11" x14ac:dyDescent="0.25">
      <c r="A60">
        <v>66</v>
      </c>
      <c r="B60">
        <v>1</v>
      </c>
      <c r="C60">
        <v>10</v>
      </c>
      <c r="D60">
        <v>46</v>
      </c>
      <c r="E60">
        <v>110</v>
      </c>
      <c r="G60">
        <v>66</v>
      </c>
      <c r="H60">
        <v>6</v>
      </c>
      <c r="I60">
        <v>16</v>
      </c>
      <c r="J60">
        <v>55</v>
      </c>
      <c r="K60">
        <v>110</v>
      </c>
    </row>
    <row r="61" spans="1:11" x14ac:dyDescent="0.25">
      <c r="A61">
        <v>67</v>
      </c>
      <c r="B61">
        <v>1</v>
      </c>
      <c r="C61">
        <v>10</v>
      </c>
      <c r="D61">
        <v>46</v>
      </c>
      <c r="E61">
        <v>110</v>
      </c>
      <c r="G61">
        <v>67</v>
      </c>
      <c r="H61">
        <v>6</v>
      </c>
      <c r="I61">
        <v>16</v>
      </c>
      <c r="J61">
        <v>55</v>
      </c>
      <c r="K61">
        <v>110</v>
      </c>
    </row>
    <row r="62" spans="1:11" x14ac:dyDescent="0.25">
      <c r="A62">
        <v>68</v>
      </c>
      <c r="B62">
        <v>1</v>
      </c>
      <c r="C62">
        <v>10</v>
      </c>
      <c r="D62">
        <v>46</v>
      </c>
      <c r="E62">
        <v>110</v>
      </c>
      <c r="G62">
        <v>68</v>
      </c>
      <c r="H62">
        <v>6</v>
      </c>
      <c r="I62">
        <v>16</v>
      </c>
      <c r="J62">
        <v>55</v>
      </c>
      <c r="K62">
        <v>110</v>
      </c>
    </row>
    <row r="63" spans="1:11" x14ac:dyDescent="0.25">
      <c r="A63">
        <v>69</v>
      </c>
      <c r="B63">
        <v>1</v>
      </c>
      <c r="C63">
        <v>10</v>
      </c>
      <c r="D63">
        <v>46</v>
      </c>
      <c r="E63">
        <v>110</v>
      </c>
      <c r="G63">
        <v>69</v>
      </c>
      <c r="H63">
        <v>6</v>
      </c>
      <c r="I63">
        <v>16</v>
      </c>
      <c r="J63">
        <v>55</v>
      </c>
      <c r="K63">
        <v>110</v>
      </c>
    </row>
    <row r="64" spans="1:11" x14ac:dyDescent="0.25">
      <c r="A64">
        <v>70</v>
      </c>
      <c r="B64">
        <v>1</v>
      </c>
      <c r="C64">
        <v>10</v>
      </c>
      <c r="D64">
        <v>46</v>
      </c>
      <c r="E64">
        <v>110</v>
      </c>
      <c r="G64">
        <v>70</v>
      </c>
      <c r="H64">
        <v>6</v>
      </c>
      <c r="I64">
        <v>16</v>
      </c>
      <c r="J64">
        <v>55</v>
      </c>
      <c r="K64">
        <v>110</v>
      </c>
    </row>
    <row r="65" spans="1:11" x14ac:dyDescent="0.25">
      <c r="A65">
        <v>71</v>
      </c>
      <c r="B65">
        <v>1</v>
      </c>
      <c r="C65">
        <v>10</v>
      </c>
      <c r="D65">
        <v>46</v>
      </c>
      <c r="E65">
        <v>110</v>
      </c>
      <c r="G65">
        <v>71</v>
      </c>
      <c r="H65">
        <v>6</v>
      </c>
      <c r="I65">
        <v>16</v>
      </c>
      <c r="J65">
        <v>55</v>
      </c>
      <c r="K65">
        <v>110</v>
      </c>
    </row>
    <row r="66" spans="1:11" x14ac:dyDescent="0.25">
      <c r="A66">
        <v>72</v>
      </c>
      <c r="B66">
        <v>1</v>
      </c>
      <c r="C66">
        <v>10</v>
      </c>
      <c r="D66">
        <v>46</v>
      </c>
      <c r="E66">
        <v>110</v>
      </c>
      <c r="G66">
        <v>72</v>
      </c>
      <c r="H66">
        <v>6</v>
      </c>
      <c r="I66">
        <v>16</v>
      </c>
      <c r="J66">
        <v>55</v>
      </c>
      <c r="K66">
        <v>110</v>
      </c>
    </row>
    <row r="67" spans="1:11" x14ac:dyDescent="0.25">
      <c r="A67">
        <v>73</v>
      </c>
      <c r="B67">
        <v>1</v>
      </c>
      <c r="C67">
        <v>10</v>
      </c>
      <c r="D67">
        <v>46</v>
      </c>
      <c r="E67">
        <v>110</v>
      </c>
      <c r="G67">
        <v>73</v>
      </c>
      <c r="H67">
        <v>6</v>
      </c>
      <c r="I67">
        <v>16</v>
      </c>
      <c r="J67">
        <v>55</v>
      </c>
      <c r="K67">
        <v>110</v>
      </c>
    </row>
    <row r="68" spans="1:11" x14ac:dyDescent="0.25">
      <c r="A68">
        <v>74</v>
      </c>
      <c r="B68">
        <v>1</v>
      </c>
      <c r="C68">
        <v>10</v>
      </c>
      <c r="D68">
        <v>46</v>
      </c>
      <c r="E68">
        <v>110</v>
      </c>
      <c r="G68">
        <v>74</v>
      </c>
      <c r="H68">
        <v>6</v>
      </c>
      <c r="I68">
        <v>16</v>
      </c>
      <c r="J68">
        <v>55</v>
      </c>
      <c r="K68">
        <v>110</v>
      </c>
    </row>
    <row r="69" spans="1:11" x14ac:dyDescent="0.25">
      <c r="A69">
        <v>75</v>
      </c>
      <c r="B69">
        <v>1</v>
      </c>
      <c r="C69">
        <v>10</v>
      </c>
      <c r="D69">
        <v>46</v>
      </c>
      <c r="E69">
        <v>110</v>
      </c>
      <c r="G69">
        <v>75</v>
      </c>
      <c r="H69">
        <v>6</v>
      </c>
      <c r="I69">
        <v>16</v>
      </c>
      <c r="J69">
        <v>55</v>
      </c>
      <c r="K69">
        <v>110</v>
      </c>
    </row>
    <row r="70" spans="1:11" x14ac:dyDescent="0.25">
      <c r="A70">
        <v>76</v>
      </c>
      <c r="B70">
        <v>1</v>
      </c>
      <c r="C70">
        <v>10</v>
      </c>
      <c r="D70">
        <v>46</v>
      </c>
      <c r="E70">
        <v>110</v>
      </c>
      <c r="G70">
        <v>76</v>
      </c>
      <c r="H70">
        <v>6</v>
      </c>
      <c r="I70">
        <v>16</v>
      </c>
      <c r="J70">
        <v>55</v>
      </c>
      <c r="K70">
        <v>110</v>
      </c>
    </row>
    <row r="71" spans="1:11" x14ac:dyDescent="0.25">
      <c r="A71">
        <v>77</v>
      </c>
      <c r="B71">
        <v>1</v>
      </c>
      <c r="C71">
        <v>10</v>
      </c>
      <c r="D71">
        <v>46</v>
      </c>
      <c r="E71">
        <v>110</v>
      </c>
      <c r="G71">
        <v>77</v>
      </c>
      <c r="H71">
        <v>6</v>
      </c>
      <c r="I71">
        <v>16</v>
      </c>
      <c r="J71">
        <v>55</v>
      </c>
      <c r="K71">
        <v>110</v>
      </c>
    </row>
    <row r="72" spans="1:11" x14ac:dyDescent="0.25">
      <c r="A72">
        <v>78</v>
      </c>
      <c r="B72">
        <v>1</v>
      </c>
      <c r="C72">
        <v>10</v>
      </c>
      <c r="D72">
        <v>46</v>
      </c>
      <c r="E72">
        <v>110</v>
      </c>
      <c r="G72">
        <v>78</v>
      </c>
      <c r="H72">
        <v>6</v>
      </c>
      <c r="I72">
        <v>16</v>
      </c>
      <c r="J72">
        <v>55</v>
      </c>
      <c r="K72">
        <v>110</v>
      </c>
    </row>
    <row r="73" spans="1:11" x14ac:dyDescent="0.25">
      <c r="A73">
        <v>79</v>
      </c>
      <c r="B73">
        <v>1</v>
      </c>
      <c r="C73">
        <v>10</v>
      </c>
      <c r="D73">
        <v>46</v>
      </c>
      <c r="E73">
        <v>110</v>
      </c>
      <c r="G73">
        <v>79</v>
      </c>
      <c r="H73">
        <v>6</v>
      </c>
      <c r="I73">
        <v>16</v>
      </c>
      <c r="J73">
        <v>55</v>
      </c>
      <c r="K73">
        <v>110</v>
      </c>
    </row>
    <row r="74" spans="1:11" x14ac:dyDescent="0.25">
      <c r="A74">
        <v>80</v>
      </c>
      <c r="B74">
        <v>1</v>
      </c>
      <c r="C74">
        <v>10</v>
      </c>
      <c r="D74">
        <v>46</v>
      </c>
      <c r="E74">
        <v>110</v>
      </c>
      <c r="G74">
        <v>80</v>
      </c>
      <c r="H74">
        <v>6</v>
      </c>
      <c r="I74">
        <v>16</v>
      </c>
      <c r="J74">
        <v>55</v>
      </c>
      <c r="K74">
        <v>110</v>
      </c>
    </row>
    <row r="75" spans="1:11" x14ac:dyDescent="0.25">
      <c r="A75">
        <v>81</v>
      </c>
      <c r="B75">
        <v>1</v>
      </c>
      <c r="C75">
        <v>10</v>
      </c>
      <c r="D75">
        <v>46</v>
      </c>
      <c r="E75">
        <v>110</v>
      </c>
      <c r="G75">
        <v>81</v>
      </c>
      <c r="H75">
        <v>6</v>
      </c>
      <c r="I75">
        <v>16</v>
      </c>
      <c r="J75">
        <v>55</v>
      </c>
      <c r="K75">
        <v>110</v>
      </c>
    </row>
    <row r="76" spans="1:11" x14ac:dyDescent="0.25">
      <c r="A76">
        <v>82</v>
      </c>
      <c r="B76">
        <v>1</v>
      </c>
      <c r="C76">
        <v>10</v>
      </c>
      <c r="D76">
        <v>46</v>
      </c>
      <c r="E76">
        <v>110</v>
      </c>
      <c r="G76">
        <v>82</v>
      </c>
      <c r="H76">
        <v>6</v>
      </c>
      <c r="I76">
        <v>16</v>
      </c>
      <c r="J76">
        <v>55</v>
      </c>
      <c r="K76">
        <v>110</v>
      </c>
    </row>
    <row r="77" spans="1:11" x14ac:dyDescent="0.25">
      <c r="A77">
        <v>83</v>
      </c>
      <c r="B77">
        <v>1</v>
      </c>
      <c r="C77">
        <v>10</v>
      </c>
      <c r="D77">
        <v>46</v>
      </c>
      <c r="E77">
        <v>110</v>
      </c>
      <c r="G77">
        <v>83</v>
      </c>
      <c r="H77">
        <v>6</v>
      </c>
      <c r="I77">
        <v>16</v>
      </c>
      <c r="J77">
        <v>55</v>
      </c>
      <c r="K77">
        <v>110</v>
      </c>
    </row>
    <row r="78" spans="1:11" x14ac:dyDescent="0.25">
      <c r="A78">
        <v>84</v>
      </c>
      <c r="B78">
        <v>1</v>
      </c>
      <c r="C78">
        <v>10</v>
      </c>
      <c r="D78">
        <v>46</v>
      </c>
      <c r="E78">
        <v>110</v>
      </c>
      <c r="G78">
        <v>84</v>
      </c>
      <c r="H78">
        <v>6</v>
      </c>
      <c r="I78">
        <v>16</v>
      </c>
      <c r="J78">
        <v>55</v>
      </c>
      <c r="K78">
        <v>110</v>
      </c>
    </row>
    <row r="79" spans="1:11" x14ac:dyDescent="0.25">
      <c r="A79">
        <v>85</v>
      </c>
      <c r="B79">
        <v>1</v>
      </c>
      <c r="C79">
        <v>10</v>
      </c>
      <c r="D79">
        <v>46</v>
      </c>
      <c r="E79">
        <v>110</v>
      </c>
      <c r="G79">
        <v>85</v>
      </c>
      <c r="H79">
        <v>6</v>
      </c>
      <c r="I79">
        <v>16</v>
      </c>
      <c r="J79">
        <v>55</v>
      </c>
      <c r="K79">
        <v>110</v>
      </c>
    </row>
    <row r="80" spans="1:11" x14ac:dyDescent="0.25">
      <c r="A80">
        <v>86</v>
      </c>
      <c r="B80">
        <v>1</v>
      </c>
      <c r="C80">
        <v>10</v>
      </c>
      <c r="D80">
        <v>46</v>
      </c>
      <c r="E80">
        <v>110</v>
      </c>
      <c r="G80">
        <v>86</v>
      </c>
      <c r="H80">
        <v>6</v>
      </c>
      <c r="I80">
        <v>16</v>
      </c>
      <c r="J80">
        <v>55</v>
      </c>
      <c r="K80">
        <v>110</v>
      </c>
    </row>
    <row r="81" spans="1:11" x14ac:dyDescent="0.25">
      <c r="A81">
        <v>87</v>
      </c>
      <c r="B81">
        <v>1</v>
      </c>
      <c r="C81">
        <v>10</v>
      </c>
      <c r="D81">
        <v>46</v>
      </c>
      <c r="E81">
        <v>110</v>
      </c>
      <c r="G81">
        <v>87</v>
      </c>
      <c r="H81">
        <v>6</v>
      </c>
      <c r="I81">
        <v>16</v>
      </c>
      <c r="J81">
        <v>55</v>
      </c>
      <c r="K81">
        <v>110</v>
      </c>
    </row>
    <row r="82" spans="1:11" x14ac:dyDescent="0.25">
      <c r="A82">
        <v>88</v>
      </c>
      <c r="B82">
        <v>1</v>
      </c>
      <c r="C82">
        <v>10</v>
      </c>
      <c r="D82">
        <v>46</v>
      </c>
      <c r="E82">
        <v>110</v>
      </c>
      <c r="G82">
        <v>88</v>
      </c>
      <c r="H82">
        <v>6</v>
      </c>
      <c r="I82">
        <v>16</v>
      </c>
      <c r="J82">
        <v>55</v>
      </c>
      <c r="K82">
        <v>110</v>
      </c>
    </row>
    <row r="83" spans="1:11" x14ac:dyDescent="0.25">
      <c r="A83">
        <v>89</v>
      </c>
      <c r="B83">
        <v>1</v>
      </c>
      <c r="C83">
        <v>10</v>
      </c>
      <c r="D83">
        <v>46</v>
      </c>
      <c r="E83">
        <v>110</v>
      </c>
      <c r="G83">
        <v>89</v>
      </c>
      <c r="H83">
        <v>6</v>
      </c>
      <c r="I83">
        <v>16</v>
      </c>
      <c r="J83">
        <v>55</v>
      </c>
      <c r="K83">
        <v>110</v>
      </c>
    </row>
    <row r="84" spans="1:11" x14ac:dyDescent="0.25">
      <c r="A84">
        <v>90</v>
      </c>
      <c r="B84">
        <v>1</v>
      </c>
      <c r="C84">
        <v>10</v>
      </c>
      <c r="D84">
        <v>46</v>
      </c>
      <c r="E84">
        <v>110</v>
      </c>
      <c r="G84">
        <v>90</v>
      </c>
      <c r="H84">
        <v>6</v>
      </c>
      <c r="I84">
        <v>16</v>
      </c>
      <c r="J84">
        <v>55</v>
      </c>
      <c r="K84">
        <v>110</v>
      </c>
    </row>
    <row r="85" spans="1:11" x14ac:dyDescent="0.25">
      <c r="A85">
        <v>91</v>
      </c>
      <c r="B85">
        <v>1</v>
      </c>
      <c r="C85">
        <v>10</v>
      </c>
      <c r="D85">
        <v>46</v>
      </c>
      <c r="E85">
        <v>110</v>
      </c>
      <c r="G85">
        <v>91</v>
      </c>
      <c r="H85">
        <v>6</v>
      </c>
      <c r="I85">
        <v>16</v>
      </c>
      <c r="J85">
        <v>55</v>
      </c>
      <c r="K85">
        <v>110</v>
      </c>
    </row>
    <row r="86" spans="1:11" x14ac:dyDescent="0.25">
      <c r="A86">
        <v>92</v>
      </c>
      <c r="B86">
        <v>1</v>
      </c>
      <c r="C86">
        <v>10</v>
      </c>
      <c r="D86">
        <v>46</v>
      </c>
      <c r="E86">
        <v>110</v>
      </c>
      <c r="G86">
        <v>92</v>
      </c>
      <c r="H86">
        <v>6</v>
      </c>
      <c r="I86">
        <v>16</v>
      </c>
      <c r="J86">
        <v>55</v>
      </c>
      <c r="K86">
        <v>110</v>
      </c>
    </row>
    <row r="87" spans="1:11" x14ac:dyDescent="0.25">
      <c r="A87">
        <v>93</v>
      </c>
      <c r="B87">
        <v>1</v>
      </c>
      <c r="C87">
        <v>10</v>
      </c>
      <c r="D87">
        <v>46</v>
      </c>
      <c r="E87">
        <v>110</v>
      </c>
      <c r="G87">
        <v>93</v>
      </c>
      <c r="H87">
        <v>6</v>
      </c>
      <c r="I87">
        <v>16</v>
      </c>
      <c r="J87">
        <v>55</v>
      </c>
      <c r="K87">
        <v>110</v>
      </c>
    </row>
    <row r="88" spans="1:11" x14ac:dyDescent="0.25">
      <c r="A88">
        <v>94</v>
      </c>
      <c r="B88">
        <v>1</v>
      </c>
      <c r="C88">
        <v>10</v>
      </c>
      <c r="D88">
        <v>46</v>
      </c>
      <c r="E88">
        <v>110</v>
      </c>
      <c r="G88">
        <v>94</v>
      </c>
      <c r="H88">
        <v>6</v>
      </c>
      <c r="I88">
        <v>16</v>
      </c>
      <c r="J88">
        <v>55</v>
      </c>
      <c r="K88">
        <v>110</v>
      </c>
    </row>
    <row r="89" spans="1:11" x14ac:dyDescent="0.25">
      <c r="A89">
        <v>95</v>
      </c>
      <c r="B89">
        <v>1</v>
      </c>
      <c r="C89">
        <v>10</v>
      </c>
      <c r="D89">
        <v>46</v>
      </c>
      <c r="E89">
        <v>110</v>
      </c>
      <c r="G89">
        <v>95</v>
      </c>
      <c r="H89">
        <v>6</v>
      </c>
      <c r="I89">
        <v>16</v>
      </c>
      <c r="J89">
        <v>55</v>
      </c>
      <c r="K89">
        <v>110</v>
      </c>
    </row>
    <row r="90" spans="1:11" x14ac:dyDescent="0.25">
      <c r="A90">
        <v>96</v>
      </c>
      <c r="B90">
        <v>1</v>
      </c>
      <c r="C90">
        <v>10</v>
      </c>
      <c r="D90">
        <v>46</v>
      </c>
      <c r="E90">
        <v>110</v>
      </c>
      <c r="G90">
        <v>96</v>
      </c>
      <c r="H90">
        <v>6</v>
      </c>
      <c r="I90">
        <v>16</v>
      </c>
      <c r="J90">
        <v>55</v>
      </c>
      <c r="K90">
        <v>110</v>
      </c>
    </row>
    <row r="91" spans="1:11" x14ac:dyDescent="0.25">
      <c r="A91">
        <v>97</v>
      </c>
      <c r="B91">
        <v>1</v>
      </c>
      <c r="C91">
        <v>10</v>
      </c>
      <c r="D91">
        <v>46</v>
      </c>
      <c r="E91">
        <v>110</v>
      </c>
      <c r="G91">
        <v>97</v>
      </c>
      <c r="H91">
        <v>6</v>
      </c>
      <c r="I91">
        <v>16</v>
      </c>
      <c r="J91">
        <v>55</v>
      </c>
      <c r="K91">
        <v>110</v>
      </c>
    </row>
    <row r="92" spans="1:11" x14ac:dyDescent="0.25">
      <c r="A92">
        <v>98</v>
      </c>
      <c r="B92">
        <v>1</v>
      </c>
      <c r="C92">
        <v>10</v>
      </c>
      <c r="D92">
        <v>46</v>
      </c>
      <c r="E92">
        <v>110</v>
      </c>
      <c r="G92">
        <v>98</v>
      </c>
      <c r="H92">
        <v>6</v>
      </c>
      <c r="I92">
        <v>16</v>
      </c>
      <c r="J92">
        <v>55</v>
      </c>
      <c r="K92">
        <v>110</v>
      </c>
    </row>
    <row r="93" spans="1:11" x14ac:dyDescent="0.25">
      <c r="A93">
        <v>99</v>
      </c>
      <c r="B93">
        <v>1</v>
      </c>
      <c r="C93">
        <v>10</v>
      </c>
      <c r="D93">
        <v>46</v>
      </c>
      <c r="E93">
        <v>110</v>
      </c>
      <c r="G93">
        <v>99</v>
      </c>
      <c r="H93">
        <v>6</v>
      </c>
      <c r="I93">
        <v>16</v>
      </c>
      <c r="J93">
        <v>55</v>
      </c>
      <c r="K93">
        <v>110</v>
      </c>
    </row>
    <row r="94" spans="1:11" x14ac:dyDescent="0.25">
      <c r="A94">
        <v>100</v>
      </c>
      <c r="B94">
        <v>1</v>
      </c>
      <c r="C94">
        <v>10</v>
      </c>
      <c r="D94">
        <v>46</v>
      </c>
      <c r="E94">
        <v>110</v>
      </c>
      <c r="G94">
        <v>100</v>
      </c>
      <c r="H94">
        <v>6</v>
      </c>
      <c r="I94">
        <v>16</v>
      </c>
      <c r="J94">
        <v>55</v>
      </c>
      <c r="K94">
        <v>110</v>
      </c>
    </row>
    <row r="95" spans="1:11" x14ac:dyDescent="0.25">
      <c r="A95" s="29" t="s">
        <v>32</v>
      </c>
      <c r="B95" s="29"/>
      <c r="C95" s="29"/>
      <c r="D95" s="29"/>
      <c r="E95" s="29"/>
      <c r="G95" s="29" t="s">
        <v>33</v>
      </c>
      <c r="H95" s="29"/>
      <c r="I95" s="29"/>
      <c r="J95" s="29"/>
      <c r="K95" s="29"/>
    </row>
  </sheetData>
  <mergeCells count="5">
    <mergeCell ref="A95:E95"/>
    <mergeCell ref="G95:K95"/>
    <mergeCell ref="M12:Q12"/>
    <mergeCell ref="S12:W12"/>
    <mergeCell ref="Y43:AP43"/>
  </mergeCell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PACIENTE</vt:lpstr>
      <vt:lpstr>SDMT</vt:lpstr>
      <vt:lpstr>ROCF</vt:lpstr>
      <vt:lpstr>FCSRT</vt:lpstr>
      <vt:lpstr>RESULTADOS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Vicente Alonso Montesinos Zapata</dc:creator>
  <cp:lastModifiedBy>Vicente Alonso Montesinos Zapata</cp:lastModifiedBy>
  <dcterms:created xsi:type="dcterms:W3CDTF">2024-04-19T17:48:22Z</dcterms:created>
  <dcterms:modified xsi:type="dcterms:W3CDTF">2024-05-02T19:59:25Z</dcterms:modified>
</cp:coreProperties>
</file>