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Documents\workana\"/>
    </mc:Choice>
  </mc:AlternateContent>
  <xr:revisionPtr revIDLastSave="0" documentId="13_ncr:1_{56B31746-C42E-40D2-9E8F-A5DCEA8378FD}" xr6:coauthVersionLast="47" xr6:coauthVersionMax="47" xr10:uidLastSave="{00000000-0000-0000-0000-000000000000}"/>
  <bookViews>
    <workbookView xWindow="-120" yWindow="-120" windowWidth="24240" windowHeight="13740" activeTab="9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TOL" sheetId="8" r:id="rId6"/>
    <sheet name="TMT" sheetId="9" r:id="rId7"/>
    <sheet name="FLUIDEZ" sheetId="10" r:id="rId8"/>
    <sheet name="BNT" sheetId="11" r:id="rId9"/>
    <sheet name="RESULTADOS" sheetId="5" r:id="rId10"/>
    <sheet name="DATOS" sheetId="2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28" i="5" a="1"/>
  <c r="I27" i="5" a="1"/>
  <c r="I26" i="5" a="1"/>
  <c r="I25" i="5" a="1"/>
  <c r="I24" i="5" a="1"/>
  <c r="I23" i="5" a="1"/>
  <c r="I20" i="5" a="1"/>
  <c r="F25" i="5" a="1"/>
  <c r="F20" i="5" a="1"/>
  <c r="F16" i="5" a="1"/>
  <c r="I12" i="5" a="1"/>
  <c r="F15" i="5" a="1"/>
  <c r="F11" i="5" a="1"/>
  <c r="F10" i="5" a="1"/>
  <c r="F14" i="5" a="1"/>
  <c r="I9" i="5" a="1"/>
  <c r="I17" i="5" a="1"/>
  <c r="I10" i="5" a="1"/>
  <c r="F28" i="5" a="1"/>
  <c r="I8" i="5" a="1"/>
  <c r="I11" i="5" a="1"/>
  <c r="F17" i="5" a="1"/>
  <c r="I16" i="5" a="1"/>
  <c r="F29" i="5" a="1"/>
  <c r="I13" i="5" a="1"/>
  <c r="F26" i="5" a="1"/>
  <c r="F8" i="5" a="1"/>
  <c r="F21" i="5" a="1"/>
  <c r="F27" i="5" a="1"/>
  <c r="F9" i="5" a="1"/>
  <c r="I28" i="5" l="1"/>
  <c r="I27" i="5"/>
  <c r="I26" i="5"/>
  <c r="I25" i="5"/>
  <c r="I24" i="5"/>
  <c r="I23" i="5"/>
  <c r="I20" i="5"/>
  <c r="I17" i="5"/>
  <c r="I16" i="5"/>
  <c r="F25" i="5"/>
  <c r="F29" i="5"/>
  <c r="F28" i="5"/>
  <c r="F27" i="5"/>
  <c r="F26" i="5"/>
  <c r="F21" i="5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<sst xmlns="http://schemas.openxmlformats.org/spreadsheetml/2006/main" count="164" uniqueCount="130">
  <si>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</si>
  <si>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</si>
  <si>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</si>
  <si>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</si>
  <si>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</si>
  <si>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</si>
  <si>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</si>
  <si>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</si>
  <si>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</si>
  <si>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</si>
  <si>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</si>
  <si>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</si>
  <si>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</si>
  <si>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</si>
  <si>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</si>
  <si>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</si>
  <si>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</si>
  <si>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</si>
  <si>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</si>
  <si>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</si>
  <si>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</si>
  <si>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</si>
  <si>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</si>
  <si>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</si>
  <si>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</si>
  <si>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</si>
  <si>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</si>
  <si>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</si>
  <si>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</si>
  <si>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</si>
  <si>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</si>
  <si>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</si>
  <si>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</si>
  <si>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</si>
  <si>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</si>
  <si>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</si>
  <si>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</si>
  <si>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</si>
  <si>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</si>
  <si>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</si>
  <si>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</si>
  <si>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</si>
  <si>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</si>
  <si>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</si>
  <si>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</si>
  <si>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</si>
  <si>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</si>
  <si>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</si>
  <si>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</si>
  <si>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</si>
  <si>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</si>
  <si>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</si>
  <si>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</si>
  <si>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</si>
  <si>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</si>
  <si>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</si>
  <si>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</si>
  <si>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</si>
  <si>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</si>
  <si>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</si>
  <si>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</si>
  <si>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</si>
  <si>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</si>
  <si>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</si>
  <si>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</si>
  <si>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</si>
  <si>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</si>
  <si>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</si>
  <si>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</si>
  <si>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</si>
  <si>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</si>
  <si>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</si>
  <si>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</si>
  <si>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</si>
  <si>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</si>
  <si>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</si>
  <si>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</si>
  <si>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</si>
  <si>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</si>
  <si>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</si>
  <si>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</si>
  <si>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</si>
  <si>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</si>
  <si>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</si>
  <si>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</si>
  <si>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</si>
  <si>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</si>
  <si>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</si>
  <si>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</si>
  <si>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</si>
  <si>
    <t>Resultado TR</t>
  </si>
  <si>
    <t>Resultado TA</t>
  </si>
  <si>
    <t>Resultado O</t>
  </si>
  <si>
    <t>Resultado C</t>
  </si>
  <si>
    <t>Resultado TOT</t>
  </si>
  <si>
    <t>Resultado CON</t>
  </si>
  <si>
    <t>Resultado TR+</t>
  </si>
  <si>
    <t>Resultado TR-</t>
  </si>
  <si>
    <t>Resultado VAR</t>
  </si>
  <si>
    <t>Total Correct Score</t>
  </si>
  <si>
    <t>Total Move Score</t>
  </si>
  <si>
    <t>Total Initiation Time</t>
  </si>
  <si>
    <t>Total Execution Time</t>
  </si>
  <si>
    <t>Total Problem-Solving Time</t>
  </si>
  <si>
    <t>Resultado TCS</t>
  </si>
  <si>
    <t>Resultado TMS</t>
  </si>
  <si>
    <t>Resultado TIT</t>
  </si>
  <si>
    <t>Resultado TET</t>
  </si>
  <si>
    <t>Resultado TPST</t>
  </si>
  <si>
    <t>TOL</t>
  </si>
  <si>
    <t>Part A</t>
  </si>
  <si>
    <t>Part B</t>
  </si>
  <si>
    <t>Trail Making Test</t>
  </si>
  <si>
    <t>Resultado Part A:</t>
  </si>
  <si>
    <t>Resultado Part B:</t>
  </si>
  <si>
    <t>BNT</t>
  </si>
  <si>
    <t>Resultado BNT:</t>
  </si>
  <si>
    <t>P</t>
  </si>
  <si>
    <t>M</t>
  </si>
  <si>
    <t>R</t>
  </si>
  <si>
    <t>A</t>
  </si>
  <si>
    <t>E</t>
  </si>
  <si>
    <t>S</t>
  </si>
  <si>
    <t>Resultado P:</t>
  </si>
  <si>
    <t>FLUIDEZ</t>
  </si>
  <si>
    <t>Resultado M:</t>
  </si>
  <si>
    <t>Resultado R:</t>
  </si>
  <si>
    <t>Resultado A:</t>
  </si>
  <si>
    <t>Resultado E:</t>
  </si>
  <si>
    <t>Resultado 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</si>
</sst>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7" fillId="0" borderId="0" xfId="0" applyFont="1"/>
    <xf numFmtId="0" fontId="8" fillId="2" borderId="1" xfId="0" applyFont="1" applyFill="1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5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2FC5-2C24-4AF9-B761-40DA684B7722}">
  <sheetPr codeName="Hoja4"/>
  <dimension ref="A2:B6"/>
  <sheetViews>
    <sheetView workbookViewId="0">
      <selection activeCell="A2" sqref="A2:B2"/>
    </sheetView>
  </sheetViews>
  <sheetFormatPr baseColWidth="10" defaultRowHeight="15" x14ac:dyDescent="0.25"/>
  <cols>
    <col min="1" max="1" width="24.5703125" customWidth="1"/>
  </cols>
  <sheetData>
    <row r="2" spans="1:2" x14ac:dyDescent="0.25">
      <c r="A2" s="4" t="s">
        <v>99</v>
      </c>
      <c r="B2" s="3"/>
    </row>
    <row r="3" spans="1:2" x14ac:dyDescent="0.25">
      <c r="A3" s="4" t="s">
        <v>100</v>
      </c>
      <c r="B3" s="3"/>
    </row>
    <row r="4" spans="1:2" x14ac:dyDescent="0.25">
      <c r="A4" s="4" t="s">
        <v>101</v>
      </c>
      <c r="B4" s="3"/>
    </row>
    <row r="5" spans="1:2" x14ac:dyDescent="0.25">
      <c r="A5" s="4" t="s">
        <v>102</v>
      </c>
      <c r="B5" s="3"/>
    </row>
    <row r="6" spans="1:2" x14ac:dyDescent="0.25">
      <c r="A6" s="4" t="s">
        <v>103</v>
      </c>
      <c r="B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C37B-918E-4CC5-BE9A-4445C5DA7637}">
  <sheetPr codeName="Hoja5"/>
  <dimension ref="A2:B3"/>
  <sheetViews>
    <sheetView workbookViewId="0">
      <selection activeCell="A2" sqref="A2:B3"/>
    </sheetView>
  </sheetViews>
  <sheetFormatPr baseColWidth="10" defaultRowHeight="15" x14ac:dyDescent="0.25"/>
  <sheetData>
    <row r="2" spans="1:2" x14ac:dyDescent="0.25">
      <c r="A2" s="4" t="s">
        <v>110</v>
      </c>
      <c r="B2" s="3"/>
    </row>
    <row r="3" spans="1:2" x14ac:dyDescent="0.25">
      <c r="A3" s="4" t="s">
        <v>111</v>
      </c>
      <c r="B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7478-03D0-430C-B673-503347BBE170}">
  <sheetPr codeName="Hoja6"/>
  <dimension ref="A2:B7"/>
  <sheetViews>
    <sheetView workbookViewId="0">
      <selection activeCell="F13" sqref="F13"/>
    </sheetView>
  </sheetViews>
  <sheetFormatPr baseColWidth="10" defaultRowHeight="15" x14ac:dyDescent="0.25"/>
  <sheetData>
    <row r="2" spans="1:2" x14ac:dyDescent="0.25">
      <c r="A2" s="4" t="s">
        <v>117</v>
      </c>
      <c r="B2" s="3"/>
    </row>
    <row r="3" spans="1:2" x14ac:dyDescent="0.25">
      <c r="A3" s="4" t="s">
        <v>118</v>
      </c>
      <c r="B3" s="3"/>
    </row>
    <row r="4" spans="1:2" x14ac:dyDescent="0.25">
      <c r="A4" s="4" t="s">
        <v>119</v>
      </c>
      <c r="B4" s="3"/>
    </row>
    <row r="5" spans="1:2" x14ac:dyDescent="0.25">
      <c r="A5" s="4" t="s">
        <v>120</v>
      </c>
      <c r="B5" s="3"/>
    </row>
    <row r="6" spans="1:2" x14ac:dyDescent="0.25">
      <c r="A6" s="4" t="s">
        <v>121</v>
      </c>
      <c r="B6" s="3"/>
    </row>
    <row r="7" spans="1:2" x14ac:dyDescent="0.25">
      <c r="A7" s="4" t="s">
        <v>122</v>
      </c>
      <c r="B7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78EE-2842-47F6-92A1-24979CF9A976}">
  <sheetPr codeName="Hoja7"/>
  <dimension ref="A2:B2"/>
  <sheetViews>
    <sheetView workbookViewId="0">
      <selection activeCell="B3" sqref="B3"/>
    </sheetView>
  </sheetViews>
  <sheetFormatPr baseColWidth="10" defaultRowHeight="15" x14ac:dyDescent="0.25"/>
  <sheetData>
    <row r="2" spans="1:2" x14ac:dyDescent="0.25">
      <c r="A2" s="4" t="s">
        <v>115</v>
      </c>
      <c r="B2" s="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topLeftCell="A4" workbookViewId="0">
      <selection activeCell="I29" sqref="I29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90</v>
      </c>
      <c r="F14" s="7" cm="1">
        <f t="array" ref="F14">IF(PACIENTE!B7&gt;=18,D2_1(PACIENTE!B7, D2_ATENCION!B2))</f>
        <v>3</v>
      </c>
    </row>
    <row r="15" spans="2:9" x14ac:dyDescent="0.25">
      <c r="E15" s="7" t="s">
        <v>91</v>
      </c>
      <c r="F15" s="7" cm="1">
        <f t="array" ref="F15">IF(PACIENTE!B7&gt;=18,D2_2(PACIENTE!B7, D2_ATENCION!B3))</f>
        <v>3</v>
      </c>
      <c r="H15" s="26" t="s">
        <v>112</v>
      </c>
      <c r="I15" s="26"/>
    </row>
    <row r="16" spans="2:9" x14ac:dyDescent="0.25">
      <c r="E16" s="7" t="s">
        <v>92</v>
      </c>
      <c r="F16" s="7" cm="1">
        <f t="array" ref="F16">IF(PACIENTE!B7&gt;=18,D2_3(PACIENTE!B7, D2_ATENCION!B4))</f>
        <v>97</v>
      </c>
      <c r="H16" s="7" t="s">
        <v>113</v>
      </c>
      <c r="I16" s="7" cm="1">
        <f t="array" ref="I16">IF(PACIENTE!B7&gt;50,TMT_A(PACIENTE!B7,TMT!B2))</f>
        <v>18</v>
      </c>
    </row>
    <row r="17" spans="5:21" x14ac:dyDescent="0.25">
      <c r="E17" s="7" t="s">
        <v>93</v>
      </c>
      <c r="F17" s="7" cm="1">
        <f t="array" ref="F17">IF(PACIENTE!B7&gt;=18,D2_4(PACIENTE!B7, D2_ATENCION!B5))</f>
        <v>60</v>
      </c>
      <c r="H17" s="7" t="s">
        <v>114</v>
      </c>
      <c r="I17" s="7" cm="1">
        <f t="array" ref="I17">IF(PACIENTE!B7&gt;50,TMT_B(PACIENTE!B7,TMT!B3))</f>
        <v>18</v>
      </c>
    </row>
    <row r="18" spans="5:21" x14ac:dyDescent="0.25">
      <c r="E18" s="7" t="s">
        <v>94</v>
      </c>
      <c r="F18" s="7">
        <f>D2_ATENCION!B6</f>
        <v>0</v>
      </c>
    </row>
    <row r="19" spans="5:21" x14ac:dyDescent="0.25">
      <c r="E19" s="7" t="s">
        <v>95</v>
      </c>
      <c r="F19" s="7">
        <f>D2_ATENCION!B7</f>
        <v>0</v>
      </c>
      <c r="H19" s="26" t="s">
        <v>115</v>
      </c>
      <c r="I19" s="26"/>
    </row>
    <row r="20" spans="5:21" x14ac:dyDescent="0.25">
      <c r="E20" s="7" t="s">
        <v>96</v>
      </c>
      <c r="F20" s="7" cm="1">
        <f t="array" ref="F20">IF(PACIENTE!B7&gt;=18,D2_5(PACIENTE!B7, D2_ATENCION!B8))</f>
        <v>3</v>
      </c>
      <c r="H20" s="7" t="s">
        <v>116</v>
      </c>
      <c r="I20" s="7" cm="1">
        <f t="array" ref="I20">IF(PACIENTE!B7&gt;50,F_BNT(PACIENTE!B7,BNT!B2))</f>
        <v>2</v>
      </c>
    </row>
    <row r="21" spans="5:21" x14ac:dyDescent="0.25">
      <c r="E21" s="7" t="s">
        <v>97</v>
      </c>
      <c r="F21" s="7" cm="1">
        <f t="array" ref="F21">IF(PACIENTE!B7&gt;=18,D2_6(PACIENTE!B7, D2_ATENCION!B9))</f>
        <v>24</v>
      </c>
    </row>
    <row r="22" spans="5:21" x14ac:dyDescent="0.25">
      <c r="E22" s="7" t="s">
        <v>98</v>
      </c>
      <c r="F22" s="21">
        <f>D2_ATENCION!B10</f>
        <v>0</v>
      </c>
      <c r="G22" s="1"/>
      <c r="H22" s="26" t="s">
        <v>124</v>
      </c>
      <c r="I22" s="26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0">
        <f>ROCF!B2</f>
        <v>25</v>
      </c>
      <c r="G23" s="1">
        <f>ROCF!B2</f>
        <v>25</v>
      </c>
      <c r="H23" s="7" t="s">
        <v>123</v>
      </c>
      <c r="I23" s="7" cm="1">
        <f t="array" ref="I23">IF(PACIENTE!B7&gt;50,PHONO_P(PACIENTE!B7,FLUIDEZ!B2))</f>
        <v>2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24" spans="5:21" x14ac:dyDescent="0.25">
      <c r="E24" s="26" t="s">
        <v>109</v>
      </c>
      <c r="F24" s="26"/>
      <c r="H24" s="7" t="s">
        <v>125</v>
      </c>
      <c r="I24" s="7" cm="1">
        <f t="array" ref="I24">IF(PACIENTE!B7&gt;50,PHONO_M(PACIENTE!B7,FLUIDEZ!B3))</f>
        <v>2</v>
      </c>
    </row>
    <row r="25" spans="5:21" x14ac:dyDescent="0.25">
      <c r="E25" s="7" t="s">
        <v>104</v>
      </c>
      <c r="F25" s="7" cm="1">
        <f t="array" ref="F25">IF(PACIENTE!B7&gt;50,TOL_1(PACIENTE!B7,TOL!B2))</f>
        <v>2</v>
      </c>
      <c r="H25" s="7" t="s">
        <v>126</v>
      </c>
      <c r="I25" s="7" cm="1">
        <f t="array" ref="I25">IF(PACIENTE!B7&gt;50,PHONO_R(PACIENTE!B7,FLUIDEZ!B4))</f>
        <v>2</v>
      </c>
    </row>
    <row r="26" spans="5:21" x14ac:dyDescent="0.25">
      <c r="E26" s="7" t="s">
        <v>105</v>
      </c>
      <c r="F26" s="7" cm="1">
        <f t="array" ref="F26">IF(PACIENTE!B7&gt;50,TOL_2(PACIENTE!B7,TOL!B3))</f>
        <v>18</v>
      </c>
      <c r="H26" s="7" t="s">
        <v>127</v>
      </c>
      <c r="I26" s="7" cm="1">
        <f t="array" ref="I26">IF(PACIENTE!B7&gt;50,PHONO_A(PACIENTE!B7,FLUIDEZ!B5))</f>
        <v>2</v>
      </c>
    </row>
    <row r="27" spans="5:21" x14ac:dyDescent="0.25">
      <c r="E27" s="7" t="s">
        <v>106</v>
      </c>
      <c r="F27" s="7" cm="1">
        <f t="array" ref="F27">IF(PACIENTE!B7&gt;50,TOL_3(PACIENTE!B7,TOL!B4))</f>
        <v>18</v>
      </c>
      <c r="H27" s="7" t="s">
        <v>128</v>
      </c>
      <c r="I27" s="7" cm="1">
        <f t="array" ref="I27">IF(PACIENTE!B7&gt;50,PHONO_E(PACIENTE!B7,FLUIDEZ!B6))</f>
        <v>2</v>
      </c>
    </row>
    <row r="28" spans="5:21" x14ac:dyDescent="0.25">
      <c r="E28" s="7" t="s">
        <v>107</v>
      </c>
      <c r="F28" s="7" cm="1">
        <f t="array" ref="F28">IF(PACIENTE!B7&gt;50,TOL_4(PACIENTE!B7,TOL!B5))</f>
        <v>18</v>
      </c>
      <c r="H28" s="7" t="s">
        <v>129</v>
      </c>
      <c r="I28" s="7" cm="1">
        <f t="array" ref="I28">IF(PACIENTE!B7&gt;50,PHONO_S(PACIENTE!B7,FLUIDEZ!B7))</f>
        <v>2</v>
      </c>
    </row>
    <row r="29" spans="5:21" x14ac:dyDescent="0.25">
      <c r="E29" s="7" t="s">
        <v>108</v>
      </c>
      <c r="F29" s="7" cm="1">
        <f t="array" ref="F29">IF(PACIENTE!B7&gt;50,TOL_5(PACIENTE!B7,TOL!B6))</f>
        <v>18</v>
      </c>
    </row>
    <row r="30" spans="5:21" x14ac:dyDescent="0.25">
      <c r="F30" s="19"/>
    </row>
    <row r="31" spans="5:21" x14ac:dyDescent="0.25">
      <c r="E31" s="19"/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12">
    <mergeCell ref="C2:H2"/>
    <mergeCell ref="C3:H3"/>
    <mergeCell ref="C4:H4"/>
    <mergeCell ref="C5:H5"/>
    <mergeCell ref="H15:I15"/>
    <mergeCell ref="E24:F24"/>
    <mergeCell ref="E13:F13"/>
    <mergeCell ref="H7:I7"/>
    <mergeCell ref="E7:F7"/>
    <mergeCell ref="B7:C7"/>
    <mergeCell ref="H19:I19"/>
    <mergeCell ref="H22:I22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PACIENTE</vt:lpstr>
      <vt:lpstr>SDMT</vt:lpstr>
      <vt:lpstr>ROCF</vt:lpstr>
      <vt:lpstr>FCSRT</vt:lpstr>
      <vt:lpstr>D2_ATENCION</vt:lpstr>
      <vt:lpstr>TOL</vt:lpstr>
      <vt:lpstr>TMT</vt:lpstr>
      <vt:lpstr>FLUIDEZ</vt:lpstr>
      <vt:lpstr>BNT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2024-05-20T00:28:46Z</dcterms:modified>
</cp:coreProperties>
</file>