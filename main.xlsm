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workana\"/>
    </mc:Choice>
  </mc:AlternateContent>
  <xr:revisionPtr revIDLastSave="0" documentId="13_ncr:1_{63C8787A-6C62-4B09-A6CD-FA42537F2C07}" xr6:coauthVersionLast="47" xr6:coauthVersionMax="47" xr10:uidLastSave="{00000000-0000-0000-0000-000000000000}"/>
  <bookViews>
    <workbookView xWindow="28680" yWindow="-120" windowWidth="29040" windowHeight="16440" activeTab="5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D2_ATENCION" sheetId="7" r:id="rId5"/>
    <sheet name="RESULTADOS" sheetId="5" r:id="rId6"/>
    <sheet name="DATOS" sheetId="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5" l="1"/>
  <c r="F19" i="5"/>
  <c r="F18" i="5"/>
  <c r="B10" i="7"/>
  <c r="B7" i="7"/>
  <c r="B6" i="7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F21" i="5" a="1"/>
  <c r="F20" i="5" a="1"/>
  <c r="F17" i="5" a="1"/>
  <c r="F16" i="5" a="1"/>
  <c r="F15" i="5" a="1"/>
  <c r="F14" i="5" a="1"/>
  <c r="F11" i="5" a="1"/>
  <c r="F9" i="5" a="1"/>
  <c r="I9" i="5" a="1"/>
  <c r="I13" i="5" a="1"/>
  <c r="I12" i="5" a="1"/>
  <c r="I11" i="5" a="1"/>
  <c r="I10" i="5" a="1"/>
  <c r="F10" i="5" a="1"/>
  <c r="I8" i="5" a="1"/>
  <c r="F8" i="5" a="1"/>
  <c r="F21" i="5" l="1"/>
  <c r="F20" i="5"/>
  <c r="F17" i="5"/>
  <c r="F16" i="5"/>
  <c r="F15" i="5"/>
  <c r="F14" i="5"/>
  <c r="I13" i="5"/>
  <c r="I12" i="5"/>
  <c r="I11" i="5"/>
  <c r="I10" i="5"/>
  <c r="I9" i="5"/>
  <c r="I8" i="5"/>
  <c r="F8" i="5"/>
  <c r="F11" i="5"/>
  <c r="F10" i="5"/>
  <c r="F9" i="5"/>
  <c r="C5" i="5"/>
  <c r="C4" i="5"/>
  <c r="C3" i="5"/>
  <c r="C2" i="5"/>
  <c r="B7" i="4"/>
  <c r="D7" i="4"/>
  <c r="E7" i="4"/>
  <c r="C8" i="5" a="1"/>
  <c r="C9" i="5" a="1"/>
  <c r="C8" i="5" l="1"/>
  <c r="C9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<sst xmlns="http://schemas.openxmlformats.org/spreadsheetml/2006/main" count="132" uniqueCount="90">
  <si>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</si>
  <si>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</si>
  <si>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</si>
  <si>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</si>
  <si>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</si>
  <si>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</si>
  <si>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</si>
  <si>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</si>
  <si>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</si>
  <si>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</si>
  <si>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</si>
  <si>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</si>
  <si>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</si>
  <si>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</si>
  <si>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</si>
  <si>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</si>
  <si>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</si>
  <si>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</si>
  <si>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</si>
  <si>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</si>
  <si>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</si>
  <si>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</si>
  <si>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</si>
  <si>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</si>
  <si>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</si>
  <si>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</si>
  <si>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</si>
  <si>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</si>
  <si>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</si>
  <si>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</si>
  <si>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</si>
  <si>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</si>
  <si>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</si>
  <si>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</si>
  <si>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</si>
  <si>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</si>
  <si>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</si>
  <si>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</si>
  <si>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</si>
  <si>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</si>
  <si>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</si>
  <si>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</si>
  <si>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</si>
  <si>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</si>
  <si>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</si>
  <si>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</si>
  <si>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</si>
  <si>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</si>
  <si>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</si>
  <si>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</si>
  <si>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</si>
  <si>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</si>
  <si>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</si>
  <si>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</si>
  <si>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</si>
  <si>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</si>
  <si>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</si>
  <si>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</si>
  <si>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</si>
  <si>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</si>
  <si>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</si>
  <si>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</si>
  <si>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</si>
  <si>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</si>
  <si>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</si>
  <si>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</si>
  <si>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</si>
  <si>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</si>
  <si>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</si>
  <si>
    <t>FCSRT</t>
  </si>
  <si>
    <t>Total free recall:</t>
  </si>
  <si>
    <t>Total recall:</t>
  </si>
  <si>
    <t>Delayed free recall:</t>
  </si>
  <si>
    <t>Resultado Total free recall:</t>
  </si>
  <si>
    <t>Resultado Total recall:</t>
  </si>
  <si>
    <t>Resultado Delayed Free recall:</t>
  </si>
  <si>
    <t>Resultado Delayed Total recall:</t>
  </si>
  <si>
    <t>Resultado TDR/T3TR:</t>
  </si>
  <si>
    <t>Delayed total recall:</t>
  </si>
  <si>
    <t>TDR/T3TR:</t>
  </si>
  <si>
    <t>TR</t>
  </si>
  <si>
    <t>TA</t>
  </si>
  <si>
    <t>O</t>
  </si>
  <si>
    <t>C</t>
  </si>
  <si>
    <t>TOT</t>
  </si>
  <si>
    <t>CON</t>
  </si>
  <si>
    <t>TR+</t>
  </si>
  <si>
    <t>TR-</t>
  </si>
  <si>
    <t>VAR</t>
  </si>
  <si>
    <t>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</si>
</sst>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5" fillId="2" borderId="1" xfId="0" applyFont="1" applyFill="1" applyBorder="1"/>
    <xf numFmtId="0" fontId="6" fillId="0" borderId="0" xfId="0" applyFont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3" fillId="2" borderId="1" xfId="0" applyFont="1" applyFill="1" applyBorder="1"/>
    <xf numFmtId="0" fontId="7" fillId="0" borderId="0" xfId="0" applyFont="1"/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21"/>
      <c r="C2" s="21"/>
      <c r="D2" s="21"/>
    </row>
    <row r="3" spans="1:5" x14ac:dyDescent="0.25">
      <c r="A3" s="4" t="s">
        <v>13</v>
      </c>
      <c r="B3" s="22">
        <v>45387</v>
      </c>
      <c r="C3" s="22"/>
      <c r="D3" s="22"/>
    </row>
    <row r="4" spans="1:5" x14ac:dyDescent="0.25">
      <c r="A4" s="4" t="s">
        <v>14</v>
      </c>
      <c r="B4" s="22">
        <v>18358</v>
      </c>
      <c r="C4" s="22"/>
      <c r="D4" s="22"/>
    </row>
    <row r="6" spans="1:5" x14ac:dyDescent="0.25">
      <c r="B6" s="21" t="s">
        <v>15</v>
      </c>
      <c r="C6" s="21"/>
      <c r="D6" s="3" t="s">
        <v>11</v>
      </c>
      <c r="E6" s="3" t="s">
        <v>16</v>
      </c>
    </row>
    <row r="7" spans="1:5" x14ac:dyDescent="0.25">
      <c r="A7" s="4" t="s">
        <v>10</v>
      </c>
      <c r="B7" s="23">
        <f>IF(ISBLANK(PACIENTE!B4),"", DATEDIF(PACIENTE!B4,PACIENTE!B3,"y"))</f>
        <v>74</v>
      </c>
      <c r="C7" s="23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21"/>
      <c r="C9" s="21"/>
    </row>
    <row r="11" spans="1:5" x14ac:dyDescent="0.25">
      <c r="A11" s="20" t="s">
        <v>28</v>
      </c>
      <c r="B11" s="20"/>
      <c r="C11" s="20"/>
      <c r="D11" s="20"/>
      <c r="E11" s="20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A2" sqref="A2:B2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/>
  <dimension ref="A2:B7"/>
  <sheetViews>
    <sheetView workbookViewId="0">
      <selection activeCell="B7" sqref="B7"/>
    </sheetView>
  </sheetViews>
  <sheetFormatPr baseColWidth="10" defaultColWidth="11.42578125" defaultRowHeight="15" x14ac:dyDescent="0.25"/>
  <cols>
    <col min="1" max="1" width="18.5703125" customWidth="1"/>
  </cols>
  <sheetData>
    <row r="2" spans="1:2" x14ac:dyDescent="0.25">
      <c r="A2" s="4" t="s">
        <v>67</v>
      </c>
      <c r="B2" s="3"/>
    </row>
    <row r="3" spans="1:2" x14ac:dyDescent="0.25">
      <c r="A3" s="4" t="s">
        <v>70</v>
      </c>
      <c r="B3" s="3">
        <v>19</v>
      </c>
    </row>
    <row r="4" spans="1:2" x14ac:dyDescent="0.25">
      <c r="A4" s="4" t="s">
        <v>71</v>
      </c>
      <c r="B4" s="3">
        <v>19</v>
      </c>
    </row>
    <row r="5" spans="1:2" x14ac:dyDescent="0.25">
      <c r="A5" s="4" t="s">
        <v>72</v>
      </c>
      <c r="B5" s="3">
        <v>19</v>
      </c>
    </row>
    <row r="6" spans="1:2" x14ac:dyDescent="0.25">
      <c r="A6" s="4" t="s">
        <v>78</v>
      </c>
      <c r="B6" s="3">
        <v>19</v>
      </c>
    </row>
    <row r="7" spans="1:2" x14ac:dyDescent="0.25">
      <c r="A7" s="4" t="s">
        <v>79</v>
      </c>
      <c r="B7" s="3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BACCE-7F24-405D-B9D4-CAA237448D65}">
  <sheetPr codeName="Hoja3"/>
  <dimension ref="A2:B10"/>
  <sheetViews>
    <sheetView workbookViewId="0">
      <selection activeCell="B2" sqref="B2:B10"/>
    </sheetView>
  </sheetViews>
  <sheetFormatPr baseColWidth="10" defaultRowHeight="15" x14ac:dyDescent="0.25"/>
  <sheetData>
    <row r="2" spans="1:2" x14ac:dyDescent="0.25">
      <c r="A2" s="4" t="s">
        <v>80</v>
      </c>
      <c r="B2" s="3"/>
    </row>
    <row r="3" spans="1:2" x14ac:dyDescent="0.25">
      <c r="A3" s="4" t="s">
        <v>81</v>
      </c>
      <c r="B3" s="3"/>
    </row>
    <row r="4" spans="1:2" x14ac:dyDescent="0.25">
      <c r="A4" s="4" t="s">
        <v>82</v>
      </c>
      <c r="B4" s="3"/>
    </row>
    <row r="5" spans="1:2" x14ac:dyDescent="0.25">
      <c r="A5" s="4" t="s">
        <v>83</v>
      </c>
      <c r="B5" s="3"/>
    </row>
    <row r="6" spans="1:2" x14ac:dyDescent="0.25">
      <c r="A6" s="4" t="s">
        <v>84</v>
      </c>
      <c r="B6" s="3">
        <f>B2-(B4+B5)</f>
        <v>0</v>
      </c>
    </row>
    <row r="7" spans="1:2" x14ac:dyDescent="0.25">
      <c r="A7" s="4" t="s">
        <v>85</v>
      </c>
      <c r="B7" s="3">
        <f>B3-B5</f>
        <v>0</v>
      </c>
    </row>
    <row r="8" spans="1:2" x14ac:dyDescent="0.25">
      <c r="A8" s="4" t="s">
        <v>86</v>
      </c>
      <c r="B8" s="3"/>
    </row>
    <row r="9" spans="1:2" x14ac:dyDescent="0.25">
      <c r="A9" s="4" t="s">
        <v>87</v>
      </c>
      <c r="B9" s="3"/>
    </row>
    <row r="10" spans="1:2" x14ac:dyDescent="0.25">
      <c r="A10" s="4" t="s">
        <v>88</v>
      </c>
      <c r="B10" s="3">
        <f>B8-B9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F23" sqref="F23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21">
        <f>PACIENTE!B2</f>
        <v>0</v>
      </c>
      <c r="D2" s="21"/>
      <c r="E2" s="21"/>
      <c r="F2" s="21"/>
      <c r="G2" s="21"/>
      <c r="H2" s="21"/>
    </row>
    <row r="3" spans="2:9" x14ac:dyDescent="0.25">
      <c r="B3" s="3" t="s">
        <v>13</v>
      </c>
      <c r="C3" s="27">
        <f>PACIENTE!B3</f>
        <v>45387</v>
      </c>
      <c r="D3" s="27"/>
      <c r="E3" s="27"/>
      <c r="F3" s="27"/>
      <c r="G3" s="27"/>
      <c r="H3" s="27"/>
    </row>
    <row r="4" spans="2:9" x14ac:dyDescent="0.25">
      <c r="B4" s="3" t="s">
        <v>14</v>
      </c>
      <c r="C4" s="27">
        <f>PACIENTE!B4</f>
        <v>18358</v>
      </c>
      <c r="D4" s="27"/>
      <c r="E4" s="27"/>
      <c r="F4" s="27"/>
      <c r="G4" s="27"/>
      <c r="H4" s="27"/>
    </row>
    <row r="5" spans="2:9" x14ac:dyDescent="0.25">
      <c r="B5" s="3" t="s">
        <v>57</v>
      </c>
      <c r="C5" s="21">
        <f>PACIENTE!B9</f>
        <v>0</v>
      </c>
      <c r="D5" s="21"/>
      <c r="E5" s="21"/>
      <c r="F5" s="21"/>
      <c r="G5" s="21"/>
      <c r="H5" s="21"/>
    </row>
    <row r="7" spans="2:9" x14ac:dyDescent="0.25">
      <c r="B7" s="25" t="s">
        <v>56</v>
      </c>
      <c r="C7" s="26"/>
      <c r="E7" s="24" t="s">
        <v>53</v>
      </c>
      <c r="F7" s="24"/>
      <c r="H7" s="24" t="s">
        <v>69</v>
      </c>
      <c r="I7" s="24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  <c r="H9" s="7" t="s">
        <v>73</v>
      </c>
      <c r="I9" s="7" cm="1">
        <f t="array" ref="I9">IF( OR(ISBLANK(PACIENTE!B4), PACIENTE!B7 &lt; 50), "NO APLICA", FCSRT_2(PACIENTE!B7, FCSRT!B3))</f>
        <v>11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  <c r="H10" s="7" t="s">
        <v>74</v>
      </c>
      <c r="I10" s="7" cm="1">
        <f t="array" ref="I10">IF( OR(ISBLANK(PACIENTE!B4), PACIENTE!B7 &lt; 50), "NO APLICA", FCSRT_3(PACIENTE!B7, FCSRT!B4))</f>
        <v>0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  <c r="H11" s="7" t="s">
        <v>75</v>
      </c>
      <c r="I11" s="18" t="str" cm="1">
        <f t="array" ref="I11">IF( OR(ISBLANK(PACIENTE!B4), PACIENTE!B7 &lt; 50), "NO APLICA", FCSRT_4(PACIENTE!B7, FCSRT!B5))</f>
        <v>Valor invalido</v>
      </c>
    </row>
    <row r="12" spans="2:9" x14ac:dyDescent="0.25">
      <c r="H12" s="7" t="s">
        <v>76</v>
      </c>
      <c r="I12" s="7" t="str" cm="1">
        <f t="array" ref="I12">IF( OR(ISBLANK(PACIENTE!B4), PACIENTE!B7 &lt; 50), "NO APLICA", FCSRT_5(PACIENTE!B7, FCSRT!B6))</f>
        <v>Valor invalido</v>
      </c>
    </row>
    <row r="13" spans="2:9" x14ac:dyDescent="0.25">
      <c r="E13" s="24" t="s">
        <v>89</v>
      </c>
      <c r="F13" s="24"/>
      <c r="H13" s="7" t="s">
        <v>77</v>
      </c>
      <c r="I13" s="7" cm="1">
        <f t="array" ref="I13">IF( OR(ISBLANK(PACIENTE!B4), PACIENTE!B7 &lt; 50), "NO APLICA", FCSRT_6(PACIENTE!B7, FCSRT!B7))</f>
        <v>18</v>
      </c>
    </row>
    <row r="14" spans="2:9" x14ac:dyDescent="0.25">
      <c r="E14" s="7" t="s">
        <v>80</v>
      </c>
      <c r="F14" s="3" cm="1">
        <f t="array" ref="F14">IF(PACIENTE!B7&gt;=18,D2_1(PACIENTE!B7, D2_ATENCION!B2))</f>
        <v>3</v>
      </c>
    </row>
    <row r="15" spans="2:9" x14ac:dyDescent="0.25">
      <c r="E15" s="7" t="s">
        <v>81</v>
      </c>
      <c r="F15" s="3" cm="1">
        <f t="array" ref="F15">IF(PACIENTE!B7&gt;=18,D2_2(PACIENTE!B7, D2_ATENCION!B3))</f>
        <v>3</v>
      </c>
    </row>
    <row r="16" spans="2:9" x14ac:dyDescent="0.25">
      <c r="E16" s="7" t="s">
        <v>82</v>
      </c>
      <c r="F16" s="3" cm="1">
        <f t="array" ref="F16">IF(PACIENTE!B7&gt;=18,D2_3(PACIENTE!B7, D2_ATENCION!B4))</f>
        <v>97</v>
      </c>
    </row>
    <row r="17" spans="5:21" x14ac:dyDescent="0.25">
      <c r="E17" s="7" t="s">
        <v>83</v>
      </c>
      <c r="F17" s="3" cm="1">
        <f t="array" ref="F17">IF(PACIENTE!B7&gt;=18,D2_4(PACIENTE!B7, D2_ATENCION!B5))</f>
        <v>60</v>
      </c>
    </row>
    <row r="18" spans="5:21" x14ac:dyDescent="0.25">
      <c r="E18" s="7" t="s">
        <v>84</v>
      </c>
      <c r="F18" s="3">
        <f>D2_ATENCION!B6</f>
        <v>0</v>
      </c>
    </row>
    <row r="19" spans="5:21" x14ac:dyDescent="0.25">
      <c r="E19" s="7" t="s">
        <v>85</v>
      </c>
      <c r="F19" s="3">
        <f>D2_ATENCION!B7</f>
        <v>0</v>
      </c>
    </row>
    <row r="20" spans="5:21" x14ac:dyDescent="0.25">
      <c r="E20" s="7" t="s">
        <v>86</v>
      </c>
      <c r="F20" s="3" cm="1">
        <f t="array" ref="F20">IF(PACIENTE!B7&gt;=18,D2_5(PACIENTE!B7, D2_ATENCION!B8))</f>
        <v>3</v>
      </c>
    </row>
    <row r="21" spans="5:21" x14ac:dyDescent="0.25">
      <c r="E21" s="7" t="s">
        <v>87</v>
      </c>
      <c r="F21" s="3" cm="1">
        <f t="array" ref="F21">IF(PACIENTE!B7&gt;=18,D2_6(PACIENTE!B7, D2_ATENCION!B9))</f>
        <v>24</v>
      </c>
    </row>
    <row r="22" spans="5:21" x14ac:dyDescent="0.25">
      <c r="E22" s="7" t="s">
        <v>88</v>
      </c>
      <c r="F22" s="30">
        <f>D2_ATENCION!B10</f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5:21" x14ac:dyDescent="0.25">
      <c r="E23" s="1">
        <f>ROCF!B2</f>
        <v>25</v>
      </c>
      <c r="F23" s="31">
        <f>ROCF!B2</f>
        <v>25</v>
      </c>
      <c r="G23" s="1">
        <f>ROCF!B2</f>
        <v>25</v>
      </c>
      <c r="H23" s="1">
        <f>ROCF!B2</f>
        <v>25</v>
      </c>
      <c r="I23" s="1">
        <f>ROCF!B2</f>
        <v>25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8">
    <mergeCell ref="E13:F13"/>
    <mergeCell ref="H7:I7"/>
    <mergeCell ref="E7:F7"/>
    <mergeCell ref="B7:C7"/>
    <mergeCell ref="C2:H2"/>
    <mergeCell ref="C3:H3"/>
    <mergeCell ref="C4:H4"/>
    <mergeCell ref="C5:H5"/>
  </mergeCells>
  <pageMargins left="0.7" right="0.7" top="0.75" bottom="0.75" header="0.3" footer="0.3"/>
  <pageSetup paperSize="9" orientation="portrait" horizontalDpi="300" verticalDpi="300" r:id="rId1"/>
  <ignoredErrors>
    <ignoredError sqref="A34:D35" evalError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29" t="s">
        <v>34</v>
      </c>
      <c r="N12" s="29"/>
      <c r="O12" s="29"/>
      <c r="P12" s="29"/>
      <c r="Q12" s="29"/>
      <c r="S12" s="28" t="s">
        <v>35</v>
      </c>
      <c r="T12" s="28"/>
      <c r="U12" s="28"/>
      <c r="V12" s="28"/>
      <c r="W12" s="28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W21" s="19"/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28" t="s">
        <v>53</v>
      </c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28" t="s">
        <v>32</v>
      </c>
      <c r="B95" s="28"/>
      <c r="C95" s="28"/>
      <c r="D95" s="28"/>
      <c r="E95" s="28"/>
      <c r="G95" s="28" t="s">
        <v>33</v>
      </c>
      <c r="H95" s="28"/>
      <c r="I95" s="28"/>
      <c r="J95" s="28"/>
      <c r="K95" s="28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PACIENTE</vt:lpstr>
      <vt:lpstr>SDMT</vt:lpstr>
      <vt:lpstr>ROCF</vt:lpstr>
      <vt:lpstr>FCSRT</vt:lpstr>
      <vt:lpstr>D2_ATENCION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2024-05-13T20:24:42Z</dcterms:modified>
</cp:coreProperties>
</file>