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6F3ABDA0-F757-411D-B338-8AE9D67FC18F}" xr6:coauthVersionLast="47" xr6:coauthVersionMax="47" xr10:uidLastSave="{00000000-0000-0000-0000-000000000000}"/>
  <bookViews>
    <workbookView xWindow="28680" yWindow="-120" windowWidth="29040" windowHeight="16440" activeTab="8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TOL" sheetId="8" r:id="rId6"/>
    <sheet name="TMT" sheetId="9" r:id="rId7"/>
    <sheet name="FLUIDEZ" sheetId="10" r:id="rId8"/>
    <sheet name="RESULTADOS" sheetId="5" r:id="rId9"/>
    <sheet name="DATOS" sheetId="2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I17" i="5" a="1"/>
  <c r="I16" i="5" a="1"/>
  <c r="F25" i="5" a="1"/>
  <c r="I9" i="5" a="1"/>
  <c r="I10" i="5" a="1"/>
  <c r="F29" i="5" a="1"/>
  <c r="F20" i="5" a="1"/>
  <c r="F10" i="5" a="1"/>
  <c r="F28" i="5" a="1"/>
  <c r="I13" i="5" a="1"/>
  <c r="F16" i="5" a="1"/>
  <c r="F27" i="5" a="1"/>
  <c r="I8" i="5" a="1"/>
  <c r="F26" i="5" a="1"/>
  <c r="I12" i="5" a="1"/>
  <c r="F9" i="5" a="1"/>
  <c r="I11" i="5" a="1"/>
  <c r="F8" i="5" a="1"/>
  <c r="F15" i="5" a="1"/>
  <c r="F14" i="5" a="1"/>
  <c r="F17" i="5" a="1"/>
  <c r="F21" i="5" a="1"/>
  <c r="F11" i="5" a="1"/>
  <c r="I17" i="5" l="1"/>
  <c r="I16" i="5"/>
  <c r="F25" i="5"/>
  <c r="F29" i="5"/>
  <c r="F28" i="5"/>
  <c r="F27" i="5"/>
  <c r="F26" i="5"/>
  <c r="F21" i="5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9" i="5" a="1"/>
  <c r="C8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<sst xmlns="http://schemas.openxmlformats.org/spreadsheetml/2006/main" count="148" uniqueCount="115">
  <si>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</si>
  <si>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</si>
  <si>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</si>
  <si>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</si>
  <si>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</si>
  <si>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</si>
  <si>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</si>
  <si>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</si>
  <si>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</si>
  <si>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</si>
  <si>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</si>
  <si>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</si>
  <si>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</si>
  <si>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</si>
  <si>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</si>
  <si>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</si>
  <si>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</si>
  <si>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</si>
  <si>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</si>
  <si>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</si>
  <si>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</si>
  <si>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</si>
  <si>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</si>
  <si>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</si>
  <si>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</si>
  <si>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</si>
  <si>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</si>
  <si>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</si>
  <si>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</si>
  <si>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</si>
  <si>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</si>
  <si>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</si>
  <si>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</si>
  <si>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</si>
  <si>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</si>
  <si>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</si>
  <si>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</si>
  <si>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</si>
  <si>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</si>
  <si>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</si>
  <si>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</si>
  <si>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</si>
  <si>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</si>
  <si>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</si>
  <si>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</si>
  <si>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</si>
  <si>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</si>
  <si>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</si>
  <si>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</si>
  <si>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</si>
  <si>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</si>
  <si>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</si>
  <si>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</si>
  <si>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</si>
  <si>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</si>
  <si>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</si>
  <si>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</si>
  <si>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</si>
  <si>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</si>
  <si>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</si>
  <si>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</si>
  <si>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</si>
  <si>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</si>
  <si>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</si>
  <si>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</si>
  <si>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</si>
  <si>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</si>
  <si>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</si>
  <si>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</si>
  <si>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</si>
  <si>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</si>
  <si>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</si>
  <si>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</si>
  <si>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</si>
  <si>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</si>
  <si>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</si>
  <si>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</si>
  <si>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</si>
  <si>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</si>
  <si>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</si>
  <si>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</si>
  <si>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</si>
  <si>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</si>
  <si>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</si>
  <si>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</si>
  <si>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</si>
  <si>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</si>
  <si>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</si>
  <si>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</si>
  <si>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</si>
  <si>
    <t>Resultado TR</t>
  </si>
  <si>
    <t>Resultado TA</t>
  </si>
  <si>
    <t>Resultado O</t>
  </si>
  <si>
    <t>Resultado C</t>
  </si>
  <si>
    <t>Resultado TOT</t>
  </si>
  <si>
    <t>Resultado CON</t>
  </si>
  <si>
    <t>Resultado TR+</t>
  </si>
  <si>
    <t>Resultado TR-</t>
  </si>
  <si>
    <t>Resultado VAR</t>
  </si>
  <si>
    <t>Total Correct Score</t>
  </si>
  <si>
    <t>Total Move Score</t>
  </si>
  <si>
    <t>Total Initiation Time</t>
  </si>
  <si>
    <t>Total Execution Time</t>
  </si>
  <si>
    <t>Total Problem-Solving Time</t>
  </si>
  <si>
    <t>Resultado TCS</t>
  </si>
  <si>
    <t>Resultado TMS</t>
  </si>
  <si>
    <t>Resultado TIT</t>
  </si>
  <si>
    <t>Resultado TET</t>
  </si>
  <si>
    <t>Resultado TPST</t>
  </si>
  <si>
    <t>TOL</t>
  </si>
  <si>
    <t>Part A</t>
  </si>
  <si>
    <t>Part B</t>
  </si>
  <si>
    <t>Trail Making Test</t>
  </si>
  <si>
    <t>Resultado Part A:</t>
  </si>
  <si>
    <t>Resultado Part 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</si>
</sst>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7" fillId="0" borderId="0" xfId="0" applyFont="1"/>
    <xf numFmtId="0" fontId="8" fillId="2" borderId="1" xfId="0" applyFont="1" applyFill="1" applyBorder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3"/>
      <c r="C2" s="23"/>
      <c r="D2" s="23"/>
    </row>
    <row r="3" spans="1:5" x14ac:dyDescent="0.25">
      <c r="A3" s="4" t="s">
        <v>13</v>
      </c>
      <c r="B3" s="24">
        <v>45387</v>
      </c>
      <c r="C3" s="24"/>
      <c r="D3" s="24"/>
    </row>
    <row r="4" spans="1:5" x14ac:dyDescent="0.25">
      <c r="A4" s="4" t="s">
        <v>14</v>
      </c>
      <c r="B4" s="24">
        <v>18358</v>
      </c>
      <c r="C4" s="24"/>
      <c r="D4" s="24"/>
    </row>
    <row r="6" spans="1:5" x14ac:dyDescent="0.25">
      <c r="B6" s="23" t="s">
        <v>15</v>
      </c>
      <c r="C6" s="23"/>
      <c r="D6" s="3" t="s">
        <v>11</v>
      </c>
      <c r="E6" s="3" t="s">
        <v>16</v>
      </c>
    </row>
    <row r="7" spans="1:5" x14ac:dyDescent="0.25">
      <c r="A7" s="4" t="s">
        <v>10</v>
      </c>
      <c r="B7" s="25">
        <f>IF(ISBLANK(PACIENTE!B4),"", DATEDIF(PACIENTE!B4,PACIENTE!B3,"y"))</f>
        <v>74</v>
      </c>
      <c r="C7" s="25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3"/>
      <c r="C9" s="23"/>
    </row>
    <row r="11" spans="1:5" x14ac:dyDescent="0.25">
      <c r="A11" s="22" t="s">
        <v>28</v>
      </c>
      <c r="B11" s="22"/>
      <c r="C11" s="22"/>
      <c r="D11" s="22"/>
      <c r="E11" s="22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5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2FC5-2C24-4AF9-B761-40DA684B7722}">
  <sheetPr codeName="Hoja4"/>
  <dimension ref="A2:B6"/>
  <sheetViews>
    <sheetView workbookViewId="0">
      <selection activeCell="A2" sqref="A2:B2"/>
    </sheetView>
  </sheetViews>
  <sheetFormatPr baseColWidth="10" defaultRowHeight="15" x14ac:dyDescent="0.25"/>
  <cols>
    <col min="1" max="1" width="24.5703125" customWidth="1"/>
  </cols>
  <sheetData>
    <row r="2" spans="1:2" x14ac:dyDescent="0.25">
      <c r="A2" s="4" t="s">
        <v>99</v>
      </c>
      <c r="B2" s="3"/>
    </row>
    <row r="3" spans="1:2" x14ac:dyDescent="0.25">
      <c r="A3" s="4" t="s">
        <v>100</v>
      </c>
      <c r="B3" s="3"/>
    </row>
    <row r="4" spans="1:2" x14ac:dyDescent="0.25">
      <c r="A4" s="4" t="s">
        <v>101</v>
      </c>
      <c r="B4" s="3"/>
    </row>
    <row r="5" spans="1:2" x14ac:dyDescent="0.25">
      <c r="A5" s="4" t="s">
        <v>102</v>
      </c>
      <c r="B5" s="3"/>
    </row>
    <row r="6" spans="1:2" x14ac:dyDescent="0.25">
      <c r="A6" s="4" t="s">
        <v>103</v>
      </c>
      <c r="B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7C37B-918E-4CC5-BE9A-4445C5DA7637}">
  <sheetPr codeName="Hoja5"/>
  <dimension ref="A2:B3"/>
  <sheetViews>
    <sheetView workbookViewId="0">
      <selection activeCell="B2" sqref="B2"/>
    </sheetView>
  </sheetViews>
  <sheetFormatPr baseColWidth="10" defaultRowHeight="15" x14ac:dyDescent="0.25"/>
  <sheetData>
    <row r="2" spans="1:2" x14ac:dyDescent="0.25">
      <c r="A2" s="4" t="s">
        <v>110</v>
      </c>
      <c r="B2" s="3"/>
    </row>
    <row r="3" spans="1:2" x14ac:dyDescent="0.25">
      <c r="A3" s="4" t="s">
        <v>111</v>
      </c>
      <c r="B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7478-03D0-430C-B673-503347BBE170}">
  <sheetPr codeName="Hoja6"/>
  <dimension ref="A1"/>
  <sheetViews>
    <sheetView workbookViewId="0">
      <selection activeCell="F27" sqref="F27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I18" sqref="I18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3">
        <f>PACIENTE!B2</f>
        <v>0</v>
      </c>
      <c r="D2" s="23"/>
      <c r="E2" s="23"/>
      <c r="F2" s="23"/>
      <c r="G2" s="23"/>
      <c r="H2" s="23"/>
    </row>
    <row r="3" spans="2:9" x14ac:dyDescent="0.25">
      <c r="B3" s="3" t="s">
        <v>13</v>
      </c>
      <c r="C3" s="29">
        <f>PACIENTE!B3</f>
        <v>45387</v>
      </c>
      <c r="D3" s="29"/>
      <c r="E3" s="29"/>
      <c r="F3" s="29"/>
      <c r="G3" s="29"/>
      <c r="H3" s="29"/>
    </row>
    <row r="4" spans="2:9" x14ac:dyDescent="0.25">
      <c r="B4" s="3" t="s">
        <v>14</v>
      </c>
      <c r="C4" s="29">
        <f>PACIENTE!B4</f>
        <v>18358</v>
      </c>
      <c r="D4" s="29"/>
      <c r="E4" s="29"/>
      <c r="F4" s="29"/>
      <c r="G4" s="29"/>
      <c r="H4" s="29"/>
    </row>
    <row r="5" spans="2:9" x14ac:dyDescent="0.25">
      <c r="B5" s="3" t="s">
        <v>57</v>
      </c>
      <c r="C5" s="23">
        <f>PACIENTE!B9</f>
        <v>0</v>
      </c>
      <c r="D5" s="23"/>
      <c r="E5" s="23"/>
      <c r="F5" s="23"/>
      <c r="G5" s="23"/>
      <c r="H5" s="23"/>
    </row>
    <row r="7" spans="2:9" x14ac:dyDescent="0.25">
      <c r="B7" s="27" t="s">
        <v>56</v>
      </c>
      <c r="C7" s="28"/>
      <c r="E7" s="26" t="s">
        <v>53</v>
      </c>
      <c r="F7" s="26"/>
      <c r="H7" s="26" t="s">
        <v>69</v>
      </c>
      <c r="I7" s="26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6" t="s">
        <v>89</v>
      </c>
      <c r="F13" s="26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90</v>
      </c>
      <c r="F14" s="7" cm="1">
        <f t="array" ref="F14">IF(PACIENTE!B7&gt;=18,D2_1(PACIENTE!B7, D2_ATENCION!B2))</f>
        <v>3</v>
      </c>
    </row>
    <row r="15" spans="2:9" x14ac:dyDescent="0.25">
      <c r="E15" s="7" t="s">
        <v>91</v>
      </c>
      <c r="F15" s="7" cm="1">
        <f t="array" ref="F15">IF(PACIENTE!B7&gt;=18,D2_2(PACIENTE!B7, D2_ATENCION!B3))</f>
        <v>3</v>
      </c>
      <c r="H15" s="26" t="s">
        <v>112</v>
      </c>
      <c r="I15" s="26"/>
    </row>
    <row r="16" spans="2:9" x14ac:dyDescent="0.25">
      <c r="E16" s="7" t="s">
        <v>92</v>
      </c>
      <c r="F16" s="7" cm="1">
        <f t="array" ref="F16">IF(PACIENTE!B7&gt;=18,D2_3(PACIENTE!B7, D2_ATENCION!B4))</f>
        <v>97</v>
      </c>
      <c r="H16" s="7" t="s">
        <v>113</v>
      </c>
      <c r="I16" s="7" cm="1">
        <f t="array" ref="I16">IF(PACIENTE!B7&gt;50,TMT_A(PACIENTE!B7,TMT!B2))</f>
        <v>18</v>
      </c>
    </row>
    <row r="17" spans="5:21" x14ac:dyDescent="0.25">
      <c r="E17" s="7" t="s">
        <v>93</v>
      </c>
      <c r="F17" s="7" cm="1">
        <f t="array" ref="F17">IF(PACIENTE!B7&gt;=18,D2_4(PACIENTE!B7, D2_ATENCION!B5))</f>
        <v>60</v>
      </c>
      <c r="H17" s="7" t="s">
        <v>114</v>
      </c>
      <c r="I17" s="7" cm="1">
        <f t="array" ref="I17">IF(PACIENTE!B7&gt;50,TMT_B(PACIENTE!B7,TMT!B3))</f>
        <v>18</v>
      </c>
    </row>
    <row r="18" spans="5:21" x14ac:dyDescent="0.25">
      <c r="E18" s="7" t="s">
        <v>94</v>
      </c>
      <c r="F18" s="7">
        <f>D2_ATENCION!B6</f>
        <v>0</v>
      </c>
    </row>
    <row r="19" spans="5:21" x14ac:dyDescent="0.25">
      <c r="E19" s="7" t="s">
        <v>95</v>
      </c>
      <c r="F19" s="7">
        <f>D2_ATENCION!B7</f>
        <v>0</v>
      </c>
    </row>
    <row r="20" spans="5:21" x14ac:dyDescent="0.25">
      <c r="E20" s="7" t="s">
        <v>96</v>
      </c>
      <c r="F20" s="7" cm="1">
        <f t="array" ref="F20">IF(PACIENTE!B7&gt;=18,D2_5(PACIENTE!B7, D2_ATENCION!B8))</f>
        <v>3</v>
      </c>
    </row>
    <row r="21" spans="5:21" x14ac:dyDescent="0.25">
      <c r="E21" s="7" t="s">
        <v>97</v>
      </c>
      <c r="F21" s="7" cm="1">
        <f t="array" ref="F21">IF(PACIENTE!B7&gt;=18,D2_6(PACIENTE!B7, D2_ATENCION!B9))</f>
        <v>24</v>
      </c>
    </row>
    <row r="22" spans="5:21" x14ac:dyDescent="0.25">
      <c r="E22" s="7" t="s">
        <v>98</v>
      </c>
      <c r="F22" s="21">
        <f>D2_ATENCION!B10</f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0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24" spans="5:21" x14ac:dyDescent="0.25">
      <c r="E24" s="26" t="s">
        <v>109</v>
      </c>
      <c r="F24" s="26"/>
    </row>
    <row r="25" spans="5:21" x14ac:dyDescent="0.25">
      <c r="E25" s="7" t="s">
        <v>104</v>
      </c>
      <c r="F25" s="7" cm="1">
        <f t="array" ref="F25">IF(PACIENTE!B7&gt;50,TOL_1(PACIENTE!B7,TOL!B2))</f>
        <v>2</v>
      </c>
    </row>
    <row r="26" spans="5:21" x14ac:dyDescent="0.25">
      <c r="E26" s="7" t="s">
        <v>105</v>
      </c>
      <c r="F26" s="7" cm="1">
        <f t="array" ref="F26">IF(PACIENTE!B7&gt;50,TOL_2(PACIENTE!B7,TOL!B3))</f>
        <v>18</v>
      </c>
    </row>
    <row r="27" spans="5:21" x14ac:dyDescent="0.25">
      <c r="E27" s="7" t="s">
        <v>106</v>
      </c>
      <c r="F27" s="7" cm="1">
        <f t="array" ref="F27">IF(PACIENTE!B7&gt;50,TOL_3(PACIENTE!B7,TOL!B4))</f>
        <v>18</v>
      </c>
    </row>
    <row r="28" spans="5:21" x14ac:dyDescent="0.25">
      <c r="E28" s="7" t="s">
        <v>107</v>
      </c>
      <c r="F28" s="7" cm="1">
        <f t="array" ref="F28">IF(PACIENTE!B7&gt;50,TOL_4(PACIENTE!B7,TOL!B5))</f>
        <v>18</v>
      </c>
    </row>
    <row r="29" spans="5:21" x14ac:dyDescent="0.25">
      <c r="E29" s="7" t="s">
        <v>108</v>
      </c>
      <c r="F29" s="7" cm="1">
        <f t="array" ref="F29">IF(PACIENTE!B7&gt;50,TOL_5(PACIENTE!B7,TOL!B6))</f>
        <v>18</v>
      </c>
    </row>
    <row r="30" spans="5:21" x14ac:dyDescent="0.25">
      <c r="F30" s="19"/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10">
    <mergeCell ref="C2:H2"/>
    <mergeCell ref="C3:H3"/>
    <mergeCell ref="C4:H4"/>
    <mergeCell ref="C5:H5"/>
    <mergeCell ref="H15:I15"/>
    <mergeCell ref="E24:F24"/>
    <mergeCell ref="E13:F13"/>
    <mergeCell ref="H7:I7"/>
    <mergeCell ref="E7:F7"/>
    <mergeCell ref="B7:C7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1" t="s">
        <v>34</v>
      </c>
      <c r="N12" s="31"/>
      <c r="O12" s="31"/>
      <c r="P12" s="31"/>
      <c r="Q12" s="31"/>
      <c r="S12" s="30" t="s">
        <v>35</v>
      </c>
      <c r="T12" s="30"/>
      <c r="U12" s="30"/>
      <c r="V12" s="30"/>
      <c r="W12" s="30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30" t="s">
        <v>53</v>
      </c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30" t="s">
        <v>32</v>
      </c>
      <c r="B95" s="30"/>
      <c r="C95" s="30"/>
      <c r="D95" s="30"/>
      <c r="E95" s="30"/>
      <c r="G95" s="30" t="s">
        <v>33</v>
      </c>
      <c r="H95" s="30"/>
      <c r="I95" s="30"/>
      <c r="J95" s="30"/>
      <c r="K95" s="30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PACIENTE</vt:lpstr>
      <vt:lpstr>SDMT</vt:lpstr>
      <vt:lpstr>ROCF</vt:lpstr>
      <vt:lpstr>FCSRT</vt:lpstr>
      <vt:lpstr>D2_ATENCION</vt:lpstr>
      <vt:lpstr>TOL</vt:lpstr>
      <vt:lpstr>TMT</vt:lpstr>
      <vt:lpstr>FLUIDEZ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2024-05-17T21:10:13Z</dcterms:modified>
</cp:coreProperties>
</file>