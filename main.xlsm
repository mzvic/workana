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hocares\workana\"/>
    </mc:Choice>
  </mc:AlternateContent>
  <xr:revisionPtr revIDLastSave="0" documentId="13_ncr:1_{F48FB7E5-5A68-46C7-8C39-2CECC4E28E1D}" xr6:coauthVersionLast="47" xr6:coauthVersionMax="47" xr10:uidLastSave="{00000000-0000-0000-0000-000000000000}"/>
  <bookViews>
    <workbookView xWindow="-120" yWindow="-120" windowWidth="24240" windowHeight="13740" activeTab="4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RESULTADOS" sheetId="5" r:id="rId5"/>
    <sheet name="DATOS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3" i="5" l="1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I9" i="5" a="1"/>
  <c r="I8" i="5" a="1"/>
  <c r="F8" i="5" a="1"/>
  <c r="F11" i="5" a="1"/>
  <c r="F9" i="5" a="1"/>
  <c r="F10" i="5" a="1"/>
  <c r="I9" i="5" l="1"/>
  <c r="I8" i="5"/>
  <c r="F8" i="5"/>
  <c r="F11" i="5"/>
  <c r="F10" i="5"/>
  <c r="F9" i="5"/>
  <c r="C5" i="5"/>
  <c r="C4" i="5"/>
  <c r="C3" i="5"/>
  <c r="C2" i="5"/>
  <c r="B7" i="4"/>
  <c r="D7" i="4"/>
  <c r="E7" i="4"/>
  <c r="C9" i="5" a="1"/>
  <c r="C8" i="5" a="1"/>
  <c r="E22" i="5" l="1" a="1"/>
  <c r="E22" i="5" s="1"/>
  <c r="C8" i="5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<sst xmlns="http://schemas.openxmlformats.org/spreadsheetml/2006/main" count="105" uniqueCount="71">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</sst>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14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19"/>
      <c r="C2" s="19"/>
      <c r="D2" s="19"/>
    </row>
    <row r="3" spans="1:5" x14ac:dyDescent="0.25">
      <c r="A3" s="4" t="s">
        <v>13</v>
      </c>
      <c r="B3" s="20">
        <v>45387</v>
      </c>
      <c r="C3" s="20"/>
      <c r="D3" s="20"/>
    </row>
    <row r="4" spans="1:5" x14ac:dyDescent="0.25">
      <c r="A4" s="4" t="s">
        <v>14</v>
      </c>
      <c r="B4" s="20">
        <v>18358</v>
      </c>
      <c r="C4" s="20"/>
      <c r="D4" s="20"/>
    </row>
    <row r="6" spans="1:5" x14ac:dyDescent="0.25">
      <c r="B6" s="19" t="s">
        <v>15</v>
      </c>
      <c r="C6" s="19"/>
      <c r="D6" s="3" t="s">
        <v>11</v>
      </c>
      <c r="E6" s="3" t="s">
        <v>16</v>
      </c>
    </row>
    <row r="7" spans="1:5" x14ac:dyDescent="0.25">
      <c r="A7" s="4" t="s">
        <v>10</v>
      </c>
      <c r="B7" s="21">
        <f>IF(ISBLANK(PACIENTE!B4),"", DATEDIF(PACIENTE!B4,PACIENTE!B3,"y"))</f>
        <v>74</v>
      </c>
      <c r="C7" s="21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19"/>
      <c r="C9" s="19"/>
    </row>
    <row r="11" spans="1:5" x14ac:dyDescent="0.25">
      <c r="A11" s="18" t="s">
        <v>28</v>
      </c>
      <c r="B11" s="18"/>
      <c r="C11" s="18"/>
      <c r="D11" s="18"/>
      <c r="E11" s="18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3"/>
  <sheetViews>
    <sheetView workbookViewId="0">
      <selection activeCell="B4" sqref="B4"/>
    </sheetView>
  </sheetViews>
  <sheetFormatPr defaultColWidth="11.42578125" defaultRowHeight="15" x14ac:dyDescent="0.25"/>
  <cols>
    <col min="1" max="1" width="17.710937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I10" sqref="I10"/>
    </sheetView>
  </sheetViews>
  <sheetFormatPr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19">
        <f>PACIENTE!B2</f>
        <v>0</v>
      </c>
      <c r="D2" s="19"/>
      <c r="E2" s="19"/>
      <c r="F2" s="19"/>
      <c r="G2" s="19"/>
      <c r="H2" s="19"/>
    </row>
    <row r="3" spans="2:9" x14ac:dyDescent="0.25">
      <c r="B3" s="3" t="s">
        <v>13</v>
      </c>
      <c r="C3" s="27">
        <f>PACIENTE!B3</f>
        <v>45387</v>
      </c>
      <c r="D3" s="27"/>
      <c r="E3" s="27"/>
      <c r="F3" s="27"/>
      <c r="G3" s="27"/>
      <c r="H3" s="27"/>
    </row>
    <row r="4" spans="2:9" x14ac:dyDescent="0.25">
      <c r="B4" s="3" t="s">
        <v>14</v>
      </c>
      <c r="C4" s="27">
        <f>PACIENTE!B4</f>
        <v>18358</v>
      </c>
      <c r="D4" s="27"/>
      <c r="E4" s="27"/>
      <c r="F4" s="27"/>
      <c r="G4" s="27"/>
      <c r="H4" s="27"/>
    </row>
    <row r="5" spans="2:9" x14ac:dyDescent="0.25">
      <c r="B5" s="3" t="s">
        <v>57</v>
      </c>
      <c r="C5" s="19">
        <f>PACIENTE!B9</f>
        <v>0</v>
      </c>
      <c r="D5" s="19"/>
      <c r="E5" s="19"/>
      <c r="F5" s="19"/>
      <c r="G5" s="19"/>
      <c r="H5" s="19"/>
    </row>
    <row r="7" spans="2:9" x14ac:dyDescent="0.25">
      <c r="B7" s="23" t="s">
        <v>56</v>
      </c>
      <c r="C7" s="24"/>
      <c r="E7" s="22" t="s">
        <v>53</v>
      </c>
      <c r="F7" s="22"/>
      <c r="H7" s="22" t="s">
        <v>69</v>
      </c>
      <c r="I7" s="22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68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</row>
    <row r="22" spans="5:21" x14ac:dyDescent="0.25">
      <c r="E22" s="1" cm="1">
        <f t="array" ref="E22:U22">INDEX(ROCF_TABLE[[2]:[18]], MATCH(PACIENTE!B7, ROCF_TABLE[Edad], 0), {1,2,3,4,5,6,7,8,9,10,11,12,13,14,15,16,17})</f>
        <v>12</v>
      </c>
      <c r="F22" s="1">
        <v>13</v>
      </c>
      <c r="G22" s="1">
        <v>14</v>
      </c>
      <c r="H22" s="1">
        <v>18.5</v>
      </c>
      <c r="I22" s="1">
        <v>22</v>
      </c>
      <c r="J22" s="1">
        <v>24.5</v>
      </c>
      <c r="K22" s="1">
        <v>27.5</v>
      </c>
      <c r="L22" s="1">
        <v>30</v>
      </c>
      <c r="M22" s="1">
        <v>32</v>
      </c>
      <c r="N22" s="1">
        <v>34</v>
      </c>
      <c r="O22" s="1">
        <v>35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36</v>
      </c>
    </row>
    <row r="23" spans="5:21" x14ac:dyDescent="0.25">
      <c r="E23" s="1">
        <f>ROCF!B2</f>
        <v>25</v>
      </c>
      <c r="F23" s="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7"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ignoredErrors>
    <ignoredError sqref="E22 A34:D35 F22:U22" evalError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26" t="s">
        <v>34</v>
      </c>
      <c r="N12" s="26"/>
      <c r="O12" s="26"/>
      <c r="P12" s="26"/>
      <c r="Q12" s="26"/>
      <c r="S12" s="25" t="s">
        <v>35</v>
      </c>
      <c r="T12" s="25"/>
      <c r="U12" s="25"/>
      <c r="V12" s="25"/>
      <c r="W12" s="25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5" t="s">
        <v>53</v>
      </c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5" t="s">
        <v>32</v>
      </c>
      <c r="B95" s="25"/>
      <c r="C95" s="25"/>
      <c r="D95" s="25"/>
      <c r="E95" s="25"/>
      <c r="G95" s="25" t="s">
        <v>33</v>
      </c>
      <c r="H95" s="25"/>
      <c r="I95" s="25"/>
      <c r="J95" s="25"/>
      <c r="K95" s="25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PACIENTE</vt:lpstr>
      <vt:lpstr>SDMT</vt:lpstr>
      <vt:lpstr>ROCF</vt:lpstr>
      <vt:lpstr>FCSRT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2024-05-03T04:09:27Z</dcterms:modified>
</cp:coreProperties>
</file>