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Downloads\"/>
    </mc:Choice>
  </mc:AlternateContent>
  <xr:revisionPtr revIDLastSave="0" documentId="13_ncr:1_{196C0B1C-849C-4A46-9CBC-896460B4D4B0}" xr6:coauthVersionLast="47" xr6:coauthVersionMax="47" xr10:uidLastSave="{00000000-0000-0000-0000-000000000000}"/>
  <bookViews>
    <workbookView xWindow="28680" yWindow="-120" windowWidth="29040" windowHeight="16440" activeTab="3" xr2:uid="{ACB06729-CCAB-4FB4-A7D2-A11030B4DBAA}"/>
  </bookViews>
  <sheets>
    <sheet name="PACIENTE" sheetId="4" r:id="rId1"/>
    <sheet name="SDMT" sheetId="1" r:id="rId2"/>
    <sheet name="ROCF" sheetId="3" r:id="rId3"/>
    <sheet name="RESULTADOS" sheetId="5" r:id="rId4"/>
    <sheet name="DATOS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5" l="1" a="1"/>
  <c r="F11" i="5" s="1"/>
  <c r="F10" i="5" a="1"/>
  <c r="F10" i="5" s="1"/>
  <c r="F9" i="5" a="1"/>
  <c r="F9" i="5" s="1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C5" i="5" l="1"/>
  <c r="C4" i="5"/>
  <c r="C3" i="5"/>
  <c r="C2" i="5"/>
  <c r="B7" i="4"/>
  <c r="E22" i="5" s="1" a="1"/>
  <c r="E22" i="5" s="1"/>
  <c r="D7" i="4"/>
  <c r="E7" i="4"/>
  <c r="C9" i="5" a="1"/>
  <c r="C8" i="5" a="1"/>
  <c r="C8" i="5" l="1"/>
  <c r="C9" i="5"/>
  <c r="F8" i="5" a="1"/>
  <c r="F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<sst xmlns="http://schemas.openxmlformats.org/spreadsheetml/2006/main" count="100" uniqueCount="67">
  <si>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</si>
  <si>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</si>
  <si>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</si>
  <si>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</si>
  <si>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</si>
  <si>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</si>
  <si>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</si>
  <si>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</si>
  <si>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</si>
  <si>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</si>
  <si>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</si>
  <si>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</si>
  <si>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</si>
  <si>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</si>
  <si>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</si>
  <si>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</si>
  <si>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</si>
  <si>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</si>
  <si>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</si>
  <si>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</si>
  <si>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</si>
  <si>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</si>
  <si>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</si>
  <si>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</si>
  <si>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</si>
  <si>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</si>
  <si>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</si>
  <si>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</si>
  <si>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</si>
  <si>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</si>
  <si>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</si>
  <si>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</si>
  <si>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</si>
  <si>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</si>
  <si>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</si>
  <si>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</si>
  <si>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</si>
  <si>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</si>
  <si>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</si>
  <si>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</si>
  <si>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</si>
  <si>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</si>
  <si>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</si>
  <si>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</si>
  <si>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</si>
  <si>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</si>
  <si>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</si>
  <si>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</si>
  <si>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</si>
  <si>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</si>
  <si>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</si>
  <si>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</si>
  <si>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</si>
  <si>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</si>
  <si>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</si>
  <si>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</si>
  <si>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</si>
  <si>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</si>
  <si>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</si>
  <si>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/420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</si>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</sst>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DATOS!$Z$1:$AP$1</c:f>
              <c:strCach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</c:strCache>
            </c:strRef>
          </c:cat>
          <c:val>
            <c:numRef>
              <c:f>RESULTADOS!$E$22:$U$22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1-4D57-A69C-F555CEF51E43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DATOS!$Z$1:$AP$1</c:f>
              <c:strCach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</c:strCache>
            </c:strRef>
          </c:cat>
          <c:val>
            <c:numRef>
              <c:f>RESULTADOS!$E$23:$U$23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21-4D57-A69C-F555CEF51E4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590551</xdr:colOff>
      <xdr:row>11</xdr:row>
      <xdr:rowOff>180975</xdr:rowOff>
    </xdr:from>
    <xdr:to>
      <xdr:col>6</xdr:col>
      <xdr:colOff>1</xdr:colOff>
      <xdr:row>22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7729F09-BE02-41B3-9FB5-3033D5CC2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40" sqref="B40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19"/>
      <c r="C2" s="19"/>
      <c r="D2" s="19"/>
    </row>
    <row r="3" spans="1:5" x14ac:dyDescent="0.25">
      <c r="A3" s="4" t="s">
        <v>13</v>
      </c>
      <c r="B3" s="20">
        <v>45387</v>
      </c>
      <c r="C3" s="20"/>
      <c r="D3" s="20"/>
    </row>
    <row r="4" spans="1:5" x14ac:dyDescent="0.25">
      <c r="A4" s="4" t="s">
        <v>14</v>
      </c>
      <c r="B4" s="20"/>
      <c r="C4" s="20"/>
      <c r="D4" s="20"/>
    </row>
    <row r="6" spans="1:5" x14ac:dyDescent="0.25">
      <c r="B6" s="19" t="s">
        <v>15</v>
      </c>
      <c r="C6" s="19"/>
      <c r="D6" s="3" t="s">
        <v>11</v>
      </c>
      <c r="E6" s="3" t="s">
        <v>16</v>
      </c>
    </row>
    <row r="7" spans="1:5" x14ac:dyDescent="0.25">
      <c r="A7" s="4" t="s">
        <v>10</v>
      </c>
      <c r="B7" s="21" t="str">
        <f>IF(ISBLANK(PACIENTE!B4),"", DATEDIF(PACIENTE!B4,PACIENTE!B3,"y"))</f>
        <v/>
      </c>
      <c r="C7" s="21"/>
      <c r="D7" s="5" t="str">
        <f>IF(ISBLANK(PACIENTE!B4),"",DATEDIF(PACIENTE!B4,PACIENTE!B3,"ym"))</f>
        <v/>
      </c>
      <c r="E7" s="5" t="str">
        <f>IF(ISBLANK(PACIENTE!B4),"",DATEDIF(PACIENTE!B4,PACIENTE!B3,"md"))</f>
        <v/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19"/>
      <c r="C9" s="19"/>
    </row>
    <row r="11" spans="1:5" x14ac:dyDescent="0.25">
      <c r="A11" s="18" t="s">
        <v>28</v>
      </c>
      <c r="B11" s="18"/>
      <c r="C11" s="18"/>
      <c r="D11" s="18"/>
      <c r="E11" s="18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C7" sqref="C7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/>
      <c r="C2" s="16" t="s">
        <v>54</v>
      </c>
    </row>
    <row r="3" spans="1:3" x14ac:dyDescent="0.25">
      <c r="A3" s="4" t="s">
        <v>58</v>
      </c>
      <c r="B3" s="3"/>
      <c r="C3" s="16" t="s">
        <v>59</v>
      </c>
    </row>
    <row r="4" spans="1:3" x14ac:dyDescent="0.25">
      <c r="A4" s="4" t="s">
        <v>60</v>
      </c>
      <c r="B4" s="3"/>
      <c r="C4" s="16" t="s">
        <v>62</v>
      </c>
    </row>
    <row r="5" spans="1:3" x14ac:dyDescent="0.25">
      <c r="A5" s="4" t="s">
        <v>61</v>
      </c>
      <c r="B5" s="3"/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F8" sqref="F8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</cols>
  <sheetData>
    <row r="2" spans="2:6" x14ac:dyDescent="0.25">
      <c r="B2" s="3" t="s">
        <v>12</v>
      </c>
      <c r="C2" s="25">
        <f>PACIENTE!B2</f>
        <v>0</v>
      </c>
      <c r="D2" s="26"/>
      <c r="E2" s="26"/>
      <c r="F2" s="27"/>
    </row>
    <row r="3" spans="2:6" x14ac:dyDescent="0.25">
      <c r="B3" s="3" t="s">
        <v>13</v>
      </c>
      <c r="C3" s="28">
        <f>PACIENTE!B3</f>
        <v>45387</v>
      </c>
      <c r="D3" s="26"/>
      <c r="E3" s="26"/>
      <c r="F3" s="27"/>
    </row>
    <row r="4" spans="2:6" x14ac:dyDescent="0.25">
      <c r="B4" s="3" t="s">
        <v>14</v>
      </c>
      <c r="C4" s="28">
        <f>PACIENTE!B4</f>
        <v>0</v>
      </c>
      <c r="D4" s="26"/>
      <c r="E4" s="26"/>
      <c r="F4" s="27"/>
    </row>
    <row r="5" spans="2:6" x14ac:dyDescent="0.25">
      <c r="B5" s="3" t="s">
        <v>57</v>
      </c>
      <c r="C5" s="25">
        <f>PACIENTE!B9</f>
        <v>0</v>
      </c>
      <c r="D5" s="26"/>
      <c r="E5" s="26"/>
      <c r="F5" s="27"/>
    </row>
    <row r="7" spans="2:6" x14ac:dyDescent="0.25">
      <c r="B7" s="23" t="s">
        <v>56</v>
      </c>
      <c r="C7" s="24"/>
      <c r="E7" s="22" t="s">
        <v>53</v>
      </c>
      <c r="F7" s="22"/>
    </row>
    <row r="8" spans="2:6" x14ac:dyDescent="0.25">
      <c r="B8" s="7" t="s">
        <v>1</v>
      </c>
      <c r="C8" s="7" cm="1">
        <f t="array" ref="C8">IF(ISBLANK(PACIENTE!B4),ShowCourseEscrita(PACIENTE!B9,SDMT!B2),ShowInfantilEscrita(PACIENTE!B7,SDMT!B2))</f>
        <v>0</v>
      </c>
      <c r="E8" s="7" t="s">
        <v>63</v>
      </c>
      <c r="F8" s="7" t="str" cm="1">
        <f t="array" ref="F8">IF( OR(ISBLANK(PACIENTE!B4), PACIENTE!B7 &lt; 50), "NO APLICA", ROCF(PACIENTE!B7, ROCF!B2))</f>
        <v>NO APLICA</v>
      </c>
    </row>
    <row r="9" spans="2:6" x14ac:dyDescent="0.25">
      <c r="B9" s="7" t="s">
        <v>2</v>
      </c>
      <c r="C9" s="7" cm="1">
        <f t="array" ref="C9">IF(ISBLANK(PACIENTE!B4),ShowCourseOral(PACIENTE!B9,SDMT!B3),ShowInfantilOral(PACIENTE!B7,SDMT!B3))</f>
        <v>0</v>
      </c>
      <c r="E9" s="7" t="s">
        <v>64</v>
      </c>
      <c r="F9" s="7" t="str" cm="1">
        <f t="array" ref="F9">IF( OR(ISBLANK(PACIENTE!B5), PACIENTE!B8 &lt; 50), "NO APLICA", ROCF(PACIENTE!B8, ROCF!B3))</f>
        <v>NO APLICA</v>
      </c>
    </row>
    <row r="10" spans="2:6" x14ac:dyDescent="0.25">
      <c r="E10" s="7" t="s">
        <v>65</v>
      </c>
      <c r="F10" s="7" t="str" cm="1">
        <f t="array" ref="F10">IF( OR(ISBLANK(PACIENTE!B6), PACIENTE!B9 &lt; 50), "NO APLICA", ROCF(PACIENTE!B9, ROCF!B4))</f>
        <v>NO APLICA</v>
      </c>
    </row>
    <row r="11" spans="2:6" x14ac:dyDescent="0.25">
      <c r="E11" s="7" t="s">
        <v>66</v>
      </c>
      <c r="F11" s="7" t="str" cm="1">
        <f t="array" ref="F11">IF( OR(ISBLANK(PACIENTE!B7), PACIENTE!B10 &lt; 50), "NO APLICA", ROCF(PACIENTE!B10, ROCF!B5))</f>
        <v>NO APLICA</v>
      </c>
    </row>
    <row r="22" spans="5:21" x14ac:dyDescent="0.25">
      <c r="E22" s="1" t="e" cm="1">
        <f t="array" ref="E22:U22">INDEX(ROCF_TABLE[[2]:[18]], MATCH(PACIENTE!B7, ROCF_TABLE[Edad], 0), {1,2,3,4,5,6,7,8,9,10,11,12,13,14,15,16,17})</f>
        <v>#N/A</v>
      </c>
      <c r="F22" s="1" t="e">
        <v>#N/A</v>
      </c>
      <c r="G22" s="1" t="e">
        <v>#N/A</v>
      </c>
      <c r="H22" s="1" t="e">
        <v>#N/A</v>
      </c>
      <c r="I22" s="1" t="e">
        <v>#N/A</v>
      </c>
      <c r="J22" s="1" t="e">
        <v>#N/A</v>
      </c>
      <c r="K22" s="1" t="e">
        <v>#N/A</v>
      </c>
      <c r="L22" s="1" t="e">
        <v>#N/A</v>
      </c>
      <c r="M22" s="1" t="e">
        <v>#N/A</v>
      </c>
      <c r="N22" s="1" t="e">
        <v>#N/A</v>
      </c>
      <c r="O22" s="1" t="e">
        <v>#N/A</v>
      </c>
      <c r="P22" s="1" t="e">
        <v>#N/A</v>
      </c>
      <c r="Q22" s="1" t="e">
        <v>#N/A</v>
      </c>
      <c r="R22" s="1" t="e">
        <v>#N/A</v>
      </c>
      <c r="S22" s="1" t="e">
        <v>#N/A</v>
      </c>
      <c r="T22" s="1" t="e">
        <v>#N/A</v>
      </c>
      <c r="U22" s="1" t="e">
        <v>#N/A</v>
      </c>
    </row>
    <row r="23" spans="5:21" x14ac:dyDescent="0.25">
      <c r="E23" s="1">
        <f>ROCF!B2</f>
        <v>0</v>
      </c>
      <c r="F23" s="1">
        <f>ROCF!B2</f>
        <v>0</v>
      </c>
      <c r="G23" s="1">
        <f>ROCF!B2</f>
        <v>0</v>
      </c>
      <c r="H23" s="1">
        <f>ROCF!B2</f>
        <v>0</v>
      </c>
      <c r="I23" s="1">
        <f>ROCF!B2</f>
        <v>0</v>
      </c>
      <c r="J23" s="1">
        <f>ROCF!B2</f>
        <v>0</v>
      </c>
      <c r="K23" s="1">
        <f>ROCF!B2</f>
        <v>0</v>
      </c>
      <c r="L23" s="1">
        <f>ROCF!B2</f>
        <v>0</v>
      </c>
      <c r="M23" s="1">
        <f>ROCF!B2</f>
        <v>0</v>
      </c>
      <c r="N23" s="1">
        <f>ROCF!B2</f>
        <v>0</v>
      </c>
      <c r="O23" s="1">
        <f>ROCF!B2</f>
        <v>0</v>
      </c>
      <c r="P23" s="1">
        <f>ROCF!B2</f>
        <v>0</v>
      </c>
      <c r="Q23" s="1">
        <f>ROCF!B2</f>
        <v>0</v>
      </c>
      <c r="R23" s="1">
        <f>ROCF!B2</f>
        <v>0</v>
      </c>
      <c r="S23" s="1">
        <f>ROCF!B2</f>
        <v>0</v>
      </c>
      <c r="T23" s="1">
        <f>ROCF!B2</f>
        <v>0</v>
      </c>
      <c r="U23" s="1">
        <f>ROCF!B2</f>
        <v>0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6">
    <mergeCell ref="E7:F7"/>
    <mergeCell ref="B7:C7"/>
    <mergeCell ref="C2:F2"/>
    <mergeCell ref="C3:F3"/>
    <mergeCell ref="C4:F4"/>
    <mergeCell ref="C5:F5"/>
  </mergeCells>
  <pageMargins left="0.7" right="0.7" top="0.75" bottom="0.75" header="0.3" footer="0.3"/>
  <ignoredErrors>
    <ignoredError sqref="E22 A34:D35 F22:U22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X35" sqref="X35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0" t="s">
        <v>34</v>
      </c>
      <c r="N12" s="30"/>
      <c r="O12" s="30"/>
      <c r="P12" s="30"/>
      <c r="Q12" s="30"/>
      <c r="S12" s="29" t="s">
        <v>35</v>
      </c>
      <c r="T12" s="29"/>
      <c r="U12" s="29"/>
      <c r="V12" s="29"/>
      <c r="W12" s="29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9" t="s">
        <v>53</v>
      </c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9" t="s">
        <v>32</v>
      </c>
      <c r="B95" s="29"/>
      <c r="C95" s="29"/>
      <c r="D95" s="29"/>
      <c r="E95" s="29"/>
      <c r="G95" s="29" t="s">
        <v>33</v>
      </c>
      <c r="H95" s="29"/>
      <c r="I95" s="29"/>
      <c r="J95" s="29"/>
      <c r="K95" s="29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PACIENTE</vt:lpstr>
      <vt:lpstr>SDMT</vt:lpstr>
      <vt:lpstr>ROCF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2024-04-30T21:26:40Z</dcterms:modified>
</cp:coreProperties>
</file>